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filterPrivacy="1" codeName="ThisWorkbook"/>
  <xr:revisionPtr revIDLastSave="12" documentId="13_ncr:1_{8F75091C-4A23-6D4A-ACD9-662B06E0669F}" xr6:coauthVersionLast="47" xr6:coauthVersionMax="47" xr10:uidLastSave="{DC30CF15-7122-4F60-B3A1-13DE0A489ABD}"/>
  <bookViews>
    <workbookView xWindow="6020" yWindow="500" windowWidth="38400" windowHeight="19400" xr2:uid="{00000000-000D-0000-FFFF-FFFF00000000}"/>
  </bookViews>
  <sheets>
    <sheet name="ProjectSchedule" sheetId="11" r:id="rId1"/>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1" l="1"/>
  <c r="G13" i="11"/>
  <c r="G29" i="11"/>
  <c r="G37" i="11"/>
  <c r="G22" i="11"/>
  <c r="G21" i="11"/>
  <c r="G20" i="11"/>
  <c r="G18" i="11"/>
  <c r="I10" i="11"/>
  <c r="G10" i="11"/>
  <c r="G40" i="11"/>
  <c r="G38" i="11"/>
  <c r="G16" i="11"/>
  <c r="I46" i="11"/>
  <c r="G46" i="11"/>
  <c r="G44" i="11"/>
  <c r="G42" i="11"/>
  <c r="G25" i="11"/>
  <c r="G26" i="11"/>
  <c r="G27" i="11"/>
  <c r="G28" i="11"/>
  <c r="G35" i="11"/>
  <c r="G36" i="11"/>
  <c r="G31" i="11"/>
  <c r="G32" i="11"/>
  <c r="G33" i="11"/>
  <c r="G34" i="11"/>
  <c r="G24" i="11"/>
  <c r="I33" i="11"/>
  <c r="G11" i="11"/>
  <c r="G9" i="11"/>
  <c r="I32" i="11"/>
  <c r="I31" i="11"/>
  <c r="I47" i="11"/>
  <c r="I48" i="11"/>
  <c r="I7" i="11"/>
  <c r="J5" i="11" l="1"/>
  <c r="I39" i="11"/>
  <c r="I24" i="11"/>
  <c r="I23" i="11"/>
  <c r="I8" i="11"/>
  <c r="J6" i="11" l="1"/>
  <c r="I40" i="11" l="1"/>
  <c r="I9" i="11"/>
  <c r="K5" i="11"/>
  <c r="L5" i="11" s="1"/>
  <c r="M5" i="11" s="1"/>
  <c r="N5" i="11" s="1"/>
  <c r="O5" i="11" s="1"/>
  <c r="P5" i="11" s="1"/>
  <c r="Q5" i="11" s="1"/>
  <c r="J4" i="11"/>
  <c r="I11" i="11" l="1"/>
  <c r="Q4" i="11"/>
  <c r="R5" i="11"/>
  <c r="S5" i="11" s="1"/>
  <c r="T5" i="11" s="1"/>
  <c r="U5" i="11" s="1"/>
  <c r="V5" i="11" s="1"/>
  <c r="W5" i="11" s="1"/>
  <c r="X5" i="11" s="1"/>
  <c r="K6" i="11"/>
  <c r="X4" i="11" l="1"/>
  <c r="Y5" i="11"/>
  <c r="Z5" i="11" s="1"/>
  <c r="AA5" i="11" s="1"/>
  <c r="AB5" i="11" s="1"/>
  <c r="AC5" i="11" s="1"/>
  <c r="AD5" i="11" s="1"/>
  <c r="AE5" i="11" s="1"/>
  <c r="L6" i="11"/>
  <c r="AF5" i="11" l="1"/>
  <c r="AG5" i="11" s="1"/>
  <c r="AH5" i="11" s="1"/>
  <c r="AI5" i="11" s="1"/>
  <c r="AJ5" i="11" s="1"/>
  <c r="AK5" i="11" s="1"/>
  <c r="AE4" i="11"/>
  <c r="M6" i="11"/>
  <c r="AL5" i="11" l="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T6" i="11"/>
  <c r="AZ6" i="11" l="1"/>
  <c r="BA5" i="11"/>
  <c r="AZ4" i="11"/>
  <c r="AY6" i="11"/>
  <c r="U6" i="11"/>
  <c r="BB5" i="11" l="1"/>
  <c r="BA6" i="11"/>
  <c r="V6" i="11"/>
  <c r="BB6" i="11" l="1"/>
  <c r="BC5" i="11"/>
  <c r="W6" i="11"/>
  <c r="BC6" i="11" l="1"/>
  <c r="BD5" i="11"/>
  <c r="X6" i="11"/>
  <c r="BD6" i="11" l="1"/>
  <c r="BE5" i="11"/>
  <c r="Y6" i="11"/>
  <c r="BF5" i="11" l="1"/>
  <c r="BE6" i="11"/>
  <c r="Z6" i="11"/>
  <c r="BF6" i="11" l="1"/>
  <c r="BG5" i="11"/>
  <c r="AA6" i="11"/>
  <c r="BG6" i="11" l="1"/>
  <c r="BH5" i="11"/>
  <c r="BG4" i="11"/>
  <c r="AB6" i="11"/>
  <c r="BH6" i="11" l="1"/>
  <c r="BI5" i="11"/>
  <c r="AC6" i="11"/>
  <c r="BJ5" i="11" l="1"/>
  <c r="BI6" i="11"/>
  <c r="AD6" i="11"/>
  <c r="BK5" i="11" l="1"/>
  <c r="BJ6" i="11"/>
  <c r="AE6" i="11"/>
  <c r="BL5" i="11" l="1"/>
  <c r="BK6" i="11"/>
  <c r="AF6" i="11"/>
  <c r="BM5" i="11" l="1"/>
  <c r="BL6" i="11"/>
  <c r="AG6" i="11"/>
  <c r="BM6" i="11" l="1"/>
  <c r="AH6" i="11"/>
  <c r="AI6" i="11" l="1"/>
  <c r="AJ6" i="11" l="1"/>
  <c r="AK6" i="11" l="1"/>
  <c r="AL6" i="11" l="1"/>
  <c r="AM6" i="11" l="1"/>
  <c r="AN6" i="11" l="1"/>
  <c r="AO6" i="11" l="1"/>
  <c r="AP6" i="11" l="1"/>
  <c r="AQ6" i="11" l="1"/>
  <c r="AR6" i="11" l="1"/>
  <c r="AS6" i="11" l="1"/>
</calcChain>
</file>

<file path=xl/sharedStrings.xml><?xml version="1.0" encoding="utf-8"?>
<sst xmlns="http://schemas.openxmlformats.org/spreadsheetml/2006/main" count="63" uniqueCount="62">
  <si>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</si>
  <si>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Howth Golf Club - DRAFT Go Live Plan</t>
  </si>
  <si>
    <t>Enter Company Name in cell B2.</t>
  </si>
  <si>
    <t>Enter the name of the Project Lead in cell B3. Enter the Project Start date in cell E3. Project Start: label is in cell C3.</t>
  </si>
  <si>
    <t>TBD - Teesheet &amp; Payments
TBD - ePos</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</si>
  <si>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</si>
  <si>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</si>
  <si>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</si>
  <si>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</si>
  <si>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</si>
  <si>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</si>
  <si>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</si>
  <si>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</si>
  <si>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</si>
  <si>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</si>
  <si>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WORK DAYS</t>
  </si>
  <si>
    <t>DAYS</t>
  </si>
  <si>
    <t xml:space="preserve">Do not delete this row. This row is hidden to preserve a formula that is used to highlight the current day within the project schedule. </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</si>
  <si>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</si>
  <si>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BRS Payments</t>
  </si>
  <si>
    <t>Provide director details and relevant documentation</t>
  </si>
  <si>
    <t>Create BRS Payments system</t>
  </si>
  <si>
    <t>BRS Payments Training</t>
  </si>
  <si>
    <t>Golf Genius</t>
  </si>
  <si>
    <t>Enable the Golf Genius Interface</t>
  </si>
  <si>
    <t>Golf Genius will schedule training with the relevant people</t>
  </si>
  <si>
    <t>BRS Memberships</t>
  </si>
  <si>
    <t>Create BRS Memberships system</t>
  </si>
  <si>
    <t>Provide member data to upload e.g. non playing members</t>
  </si>
  <si>
    <t>Syncing member data between teesheet &amp; memberships</t>
  </si>
  <si>
    <t>Memberships Training - align with billing cycle</t>
  </si>
  <si>
    <t>Memberships Training session 1</t>
  </si>
  <si>
    <t>Memberships Training session 2</t>
  </si>
  <si>
    <t>Memberships Training session 3</t>
  </si>
  <si>
    <t>Sample phase title block</t>
  </si>
  <si>
    <t>ePOS System</t>
  </si>
  <si>
    <t>Provide recommended hardware list</t>
  </si>
  <si>
    <t>Purchase and install hardware</t>
  </si>
  <si>
    <t>Provide product data from existing epos system</t>
  </si>
  <si>
    <t>Create ePos system</t>
  </si>
  <si>
    <t>Upload product data</t>
  </si>
  <si>
    <t>Create Menus, Tiles and Actions</t>
  </si>
  <si>
    <t>ePos Introduction - is not training, initial look for staff members</t>
  </si>
  <si>
    <t>ePos Introduction for Pro Shop staff</t>
  </si>
  <si>
    <t>ePos Introduction for Bar/Restaurant staff</t>
  </si>
  <si>
    <t>ePos Introduction for Back office staff</t>
  </si>
  <si>
    <t>iPad Setup (if using)</t>
  </si>
  <si>
    <r>
      <t xml:space="preserve">Provide member wallet balances </t>
    </r>
    <r>
      <rPr>
        <i/>
        <sz val="12"/>
        <color theme="1"/>
        <rFont val="Calibri"/>
        <family val="2"/>
        <scheme val="minor"/>
      </rPr>
      <t>(day before ePos go live)</t>
    </r>
  </si>
  <si>
    <t>Upload member wallet balances</t>
  </si>
  <si>
    <t>Create Member Discounts</t>
  </si>
  <si>
    <t>Teesheet live in ePos system</t>
  </si>
  <si>
    <t>ePos Training &amp; Go Live</t>
  </si>
  <si>
    <t>ePos Training for Pro Shop Staff</t>
  </si>
  <si>
    <r>
      <t xml:space="preserve">- </t>
    </r>
    <r>
      <rPr>
        <b/>
        <sz val="12"/>
        <color theme="1"/>
        <rFont val="Calibri"/>
        <family val="2"/>
        <scheme val="minor"/>
      </rPr>
      <t xml:space="preserve">Training includes : </t>
    </r>
    <r>
      <rPr>
        <sz val="12"/>
        <color theme="1"/>
        <rFont val="Calibri"/>
        <family val="2"/>
        <scheme val="minor"/>
      </rPr>
      <t>Tee sheet differences, Paying for a tee time, Adding items to the order, Adding a customer to the order, Taking payment, Saving an order for later, Applying discounts, Member wallet top up, Refund order, End of Day Cash Close</t>
    </r>
  </si>
  <si>
    <t>ePos Training for Bar/Restaurant Staff</t>
  </si>
  <si>
    <r>
      <t xml:space="preserve">- </t>
    </r>
    <r>
      <rPr>
        <b/>
        <sz val="12"/>
        <color theme="1"/>
        <rFont val="Calibri"/>
        <family val="2"/>
        <scheme val="minor"/>
      </rPr>
      <t xml:space="preserve">Training includes : </t>
    </r>
    <r>
      <rPr>
        <sz val="12"/>
        <color theme="1"/>
        <rFont val="Calibri"/>
        <family val="2"/>
        <scheme val="minor"/>
      </rPr>
      <t>Paying for a tee time, Creating an Order, Adding a customer to the order, Taking payment, Food Modifiers/Notes, Hold an order, Send to Kitchen, Applying discounts, Split/Combine orders, Assign to table, Member wallet top up, Refund order, End of Day Cash Close</t>
    </r>
  </si>
  <si>
    <t>ePos Training for Back Office Staff</t>
  </si>
  <si>
    <r>
      <t xml:space="preserve">- </t>
    </r>
    <r>
      <rPr>
        <b/>
        <sz val="12"/>
        <color theme="1"/>
        <rFont val="Calibri"/>
        <family val="2"/>
        <scheme val="minor"/>
      </rPr>
      <t xml:space="preserve">Training includes : </t>
    </r>
    <r>
      <rPr>
        <sz val="12"/>
        <color theme="1"/>
        <rFont val="Calibri"/>
        <family val="2"/>
        <scheme val="minor"/>
      </rPr>
      <t>Managing Products, Discounts/Specials,</t>
    </r>
  </si>
  <si>
    <t>ePos Go Live</t>
  </si>
  <si>
    <t>This is an empty row</t>
  </si>
  <si>
    <t>This row marks the end of the Project Schedule. DO NOT enter anything in this row. 
Insert new rows ABOVE this one to continue building out your Project Schedule.</t>
  </si>
  <si>
    <t>Insert new rows ABOVE this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</si>
</sst>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m/d/yy;@"/>
    <numFmt numFmtId="166" formatCode="ddd\,\ m/d/yyyy"/>
    <numFmt numFmtId="167" formatCode="mmm\ d\,\ yyyy"/>
    <numFmt numFmtId="168" formatCode="d"/>
    <numFmt numFmtId="169" formatCode="ddd\,\ d/m/yyyy"/>
    <numFmt numFmtId="170" formatCode="d/m/yy;@"/>
  </numFmts>
  <fonts count="28">
    <font>
      <sz val="11"/>
      <color theme="1"/>
      <name val="Calibri"/>
      <family val="2"/>
      <scheme val="minor"/>
    </font>
    <font>
      <sz val="12"/>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b/>
      <sz val="12"/>
      <color theme="0"/>
      <name val="Calibri"/>
      <family val="2"/>
      <scheme val="minor"/>
    </font>
    <font>
      <b/>
      <sz val="12"/>
      <color theme="1"/>
      <name val="Calibri"/>
      <family val="2"/>
      <scheme val="minor"/>
    </font>
    <font>
      <sz val="12"/>
      <name val="Calibri"/>
      <family val="2"/>
      <scheme val="minor"/>
    </font>
    <font>
      <i/>
      <sz val="12"/>
      <color theme="1"/>
      <name val="Calibri"/>
      <family val="2"/>
      <scheme val="minor"/>
    </font>
    <font>
      <i/>
      <sz val="14"/>
      <color theme="1"/>
      <name val="Calibri"/>
      <family val="2"/>
      <scheme val="minor"/>
    </font>
    <font>
      <b/>
      <sz val="12"/>
      <name val="Calibri"/>
      <family val="2"/>
      <scheme val="minor"/>
    </font>
    <font>
      <i/>
      <sz val="11"/>
      <color theme="1"/>
      <name val="Calibri"/>
      <family val="2"/>
      <scheme val="minor"/>
    </font>
    <font>
      <b/>
      <sz val="11"/>
      <color theme="0"/>
      <name val="Calibri"/>
      <family val="2"/>
      <scheme val="minor"/>
    </font>
    <font>
      <b/>
      <sz val="11"/>
      <color theme="1"/>
      <name val="Calibri"/>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7" tint="0.79998168889431442"/>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4"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27">
    <xf numFmtId="0" fontId="0" fillId="0" borderId="0" xfId="0"/>
    <xf numFmtId="0" fontId="2" fillId="0" borderId="0" xfId="0" applyFont="1" applyAlignment="1">
      <alignment horizontal="left"/>
    </xf>
    <xf numFmtId="0" fontId="3" fillId="0" borderId="0" xfId="0" applyFont="1"/>
    <xf numFmtId="0" fontId="0" fillId="0" borderId="0" xfId="0" applyAlignment="1">
      <alignment vertical="center"/>
    </xf>
    <xf numFmtId="0" fontId="3"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9" borderId="1" xfId="0" applyFont="1" applyFill="1" applyBorder="1" applyAlignment="1">
      <alignment horizontal="center" vertical="center" wrapText="1"/>
    </xf>
    <xf numFmtId="168" fontId="11" fillId="5" borderId="0" xfId="0" applyNumberFormat="1" applyFont="1" applyFill="1" applyAlignment="1">
      <alignment horizontal="center" vertical="center"/>
    </xf>
    <xf numFmtId="168" fontId="11" fillId="5" borderId="6" xfId="0" applyNumberFormat="1" applyFont="1" applyFill="1" applyBorder="1" applyAlignment="1">
      <alignment horizontal="center" vertical="center"/>
    </xf>
    <xf numFmtId="168" fontId="11" fillId="5" borderId="7" xfId="0" applyNumberFormat="1" applyFont="1" applyFill="1" applyBorder="1" applyAlignment="1">
      <alignment horizontal="center" vertical="center"/>
    </xf>
    <xf numFmtId="0" fontId="12" fillId="8"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6" fillId="0" borderId="2" xfId="2" applyFont="1" applyBorder="1" applyAlignment="1">
      <alignment horizontal="center" vertical="center"/>
    </xf>
    <xf numFmtId="0" fontId="6" fillId="0" borderId="2" xfId="0" applyFont="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6" fillId="2" borderId="2" xfId="2" applyFont="1" applyFill="1" applyBorder="1" applyAlignment="1">
      <alignment horizontal="center" vertical="center"/>
    </xf>
    <xf numFmtId="165" fontId="5" fillId="2" borderId="2" xfId="0" applyNumberFormat="1" applyFont="1" applyFill="1" applyBorder="1" applyAlignment="1">
      <alignment horizontal="left" vertical="center"/>
    </xf>
    <xf numFmtId="165"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3"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13" fillId="0" borderId="0" xfId="5" applyAlignment="1">
      <alignment horizontal="left"/>
    </xf>
    <xf numFmtId="0" fontId="10" fillId="0" borderId="0" xfId="6"/>
    <xf numFmtId="165" fontId="9" fillId="0" borderId="2" xfId="10">
      <alignment horizontal="center" vertical="center"/>
    </xf>
    <xf numFmtId="0" fontId="9" fillId="0" borderId="2" xfId="11">
      <alignment horizontal="center" vertical="center"/>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9" fontId="9" fillId="0" borderId="3" xfId="9" applyNumberFormat="1">
      <alignment horizontal="center" vertical="center"/>
    </xf>
    <xf numFmtId="0" fontId="19" fillId="9" borderId="1" xfId="0" applyFont="1" applyFill="1" applyBorder="1" applyAlignment="1">
      <alignment horizontal="left" vertical="center" indent="1"/>
    </xf>
    <xf numFmtId="0" fontId="19" fillId="9" borderId="1" xfId="0" applyFont="1" applyFill="1" applyBorder="1" applyAlignment="1">
      <alignment horizontal="center" vertical="center" wrapText="1"/>
    </xf>
    <xf numFmtId="0" fontId="20" fillId="6" borderId="2" xfId="0" applyFont="1" applyFill="1" applyBorder="1" applyAlignment="1">
      <alignment horizontal="left" vertical="center" wrapText="1" indent="1"/>
    </xf>
    <xf numFmtId="9" fontId="21" fillId="6" borderId="2" xfId="2" applyFont="1" applyFill="1" applyBorder="1" applyAlignment="1">
      <alignment horizontal="center" vertical="center"/>
    </xf>
    <xf numFmtId="170" fontId="21" fillId="6" borderId="2" xfId="0" applyNumberFormat="1" applyFont="1" applyFill="1" applyBorder="1" applyAlignment="1">
      <alignment horizontal="center" vertical="center"/>
    </xf>
    <xf numFmtId="9" fontId="21" fillId="3" borderId="2" xfId="2" applyFont="1" applyFill="1" applyBorder="1" applyAlignment="1">
      <alignment horizontal="center" vertical="center"/>
    </xf>
    <xf numFmtId="0" fontId="20" fillId="4" borderId="2" xfId="0" applyFont="1" applyFill="1" applyBorder="1" applyAlignment="1">
      <alignment horizontal="left" vertical="center" wrapText="1" indent="1"/>
    </xf>
    <xf numFmtId="9" fontId="21" fillId="4" borderId="2" xfId="2" applyFont="1" applyFill="1" applyBorder="1" applyAlignment="1">
      <alignment horizontal="center" vertical="center"/>
    </xf>
    <xf numFmtId="170" fontId="21" fillId="4" borderId="2" xfId="0" applyNumberFormat="1" applyFont="1" applyFill="1" applyBorder="1" applyAlignment="1">
      <alignment horizontal="center" vertical="center"/>
    </xf>
    <xf numFmtId="9" fontId="21" fillId="7" borderId="2" xfId="2" applyFont="1" applyFill="1" applyBorder="1" applyAlignment="1">
      <alignment horizontal="center" vertical="center"/>
    </xf>
    <xf numFmtId="0" fontId="20" fillId="11" borderId="2" xfId="0" applyFont="1" applyFill="1" applyBorder="1" applyAlignment="1">
      <alignment horizontal="left" vertical="center" wrapText="1" indent="1"/>
    </xf>
    <xf numFmtId="9" fontId="21" fillId="11" borderId="2" xfId="2" applyFont="1" applyFill="1" applyBorder="1" applyAlignment="1">
      <alignment horizontal="center" vertical="center"/>
    </xf>
    <xf numFmtId="170" fontId="21" fillId="11" borderId="2" xfId="0" applyNumberFormat="1" applyFont="1" applyFill="1" applyBorder="1" applyAlignment="1">
      <alignment horizontal="center" vertical="center"/>
    </xf>
    <xf numFmtId="9" fontId="21" fillId="10" borderId="2" xfId="2" applyFont="1" applyFill="1" applyBorder="1" applyAlignment="1">
      <alignment horizontal="center" vertical="center"/>
    </xf>
    <xf numFmtId="0" fontId="22" fillId="6" borderId="2" xfId="11" applyFont="1" applyFill="1">
      <alignment horizontal="center" vertical="center"/>
    </xf>
    <xf numFmtId="0" fontId="22" fillId="4" borderId="2" xfId="11" applyFont="1" applyFill="1">
      <alignment horizontal="center" vertical="center"/>
    </xf>
    <xf numFmtId="0" fontId="22" fillId="11" borderId="2" xfId="11" applyFont="1" applyFill="1">
      <alignment horizontal="center" vertical="center"/>
    </xf>
    <xf numFmtId="0" fontId="20" fillId="7" borderId="2" xfId="12" applyFont="1" applyFill="1" applyAlignment="1">
      <alignment horizontal="left" vertical="center" wrapText="1" indent="2"/>
    </xf>
    <xf numFmtId="0" fontId="20" fillId="7" borderId="2" xfId="11" applyFont="1" applyFill="1">
      <alignment horizontal="center" vertical="center"/>
    </xf>
    <xf numFmtId="9" fontId="24" fillId="7" borderId="2" xfId="2" applyFont="1" applyFill="1" applyBorder="1" applyAlignment="1">
      <alignment horizontal="center" vertical="center"/>
    </xf>
    <xf numFmtId="170" fontId="20" fillId="7" borderId="2" xfId="10" applyNumberFormat="1" applyFont="1" applyFill="1">
      <alignment horizontal="center" vertical="center"/>
    </xf>
    <xf numFmtId="1" fontId="21" fillId="6" borderId="2" xfId="0" applyNumberFormat="1" applyFont="1" applyFill="1" applyBorder="1" applyAlignment="1">
      <alignment horizontal="center" vertical="center"/>
    </xf>
    <xf numFmtId="1" fontId="21" fillId="4" borderId="2" xfId="0" applyNumberFormat="1" applyFont="1" applyFill="1" applyBorder="1" applyAlignment="1">
      <alignment horizontal="center" vertical="center"/>
    </xf>
    <xf numFmtId="1" fontId="21" fillId="11" borderId="2" xfId="0" applyNumberFormat="1" applyFont="1" applyFill="1" applyBorder="1" applyAlignment="1">
      <alignment horizontal="center" vertical="center"/>
    </xf>
    <xf numFmtId="1" fontId="9" fillId="0" borderId="2" xfId="10" applyNumberFormat="1">
      <alignment horizontal="center" vertical="center"/>
    </xf>
    <xf numFmtId="1" fontId="6" fillId="2" borderId="2" xfId="0" applyNumberFormat="1" applyFont="1" applyFill="1" applyBorder="1" applyAlignment="1">
      <alignment horizontal="center" vertical="center"/>
    </xf>
    <xf numFmtId="1" fontId="0" fillId="0" borderId="0" xfId="0" applyNumberFormat="1"/>
    <xf numFmtId="1" fontId="16" fillId="0" borderId="0" xfId="0" applyNumberFormat="1" applyFont="1" applyAlignment="1">
      <alignment horizontal="center"/>
    </xf>
    <xf numFmtId="0" fontId="23" fillId="0" borderId="0" xfId="7" applyFont="1" applyAlignment="1">
      <alignment vertical="top" wrapText="1"/>
    </xf>
    <xf numFmtId="0" fontId="20" fillId="10" borderId="2" xfId="12" applyFont="1" applyFill="1" applyAlignment="1">
      <alignment horizontal="left" vertical="center" wrapText="1" indent="2"/>
    </xf>
    <xf numFmtId="9" fontId="21" fillId="12" borderId="2" xfId="2" applyFont="1" applyFill="1" applyBorder="1" applyAlignment="1">
      <alignment horizontal="center" vertical="center"/>
    </xf>
    <xf numFmtId="9" fontId="21" fillId="13" borderId="2" xfId="2" applyFont="1" applyFill="1" applyBorder="1" applyAlignment="1">
      <alignment horizontal="center" vertical="center"/>
    </xf>
    <xf numFmtId="1" fontId="20" fillId="7" borderId="2" xfId="10" applyNumberFormat="1" applyFont="1" applyFill="1">
      <alignment horizontal="center" vertical="center"/>
    </xf>
    <xf numFmtId="0" fontId="22" fillId="13" borderId="2" xfId="12" applyFont="1" applyFill="1" applyAlignment="1">
      <alignment horizontal="left" vertical="center" wrapText="1" indent="2"/>
    </xf>
    <xf numFmtId="0" fontId="26" fillId="0" borderId="0" xfId="3" applyFont="1"/>
    <xf numFmtId="0" fontId="20" fillId="10" borderId="2" xfId="11" applyFont="1" applyFill="1">
      <alignment horizontal="center" vertical="center"/>
    </xf>
    <xf numFmtId="9" fontId="24" fillId="10" borderId="2" xfId="2" applyFont="1" applyFill="1" applyBorder="1" applyAlignment="1">
      <alignment horizontal="center" vertical="center"/>
    </xf>
    <xf numFmtId="170" fontId="20" fillId="10" borderId="2" xfId="10" applyNumberFormat="1" applyFont="1" applyFill="1">
      <alignment horizontal="center" vertical="center"/>
    </xf>
    <xf numFmtId="1" fontId="20" fillId="10" borderId="2" xfId="10" applyNumberFormat="1" applyFont="1" applyFill="1">
      <alignment horizontal="center" vertical="center"/>
    </xf>
    <xf numFmtId="0" fontId="17" fillId="0" borderId="2" xfId="0" applyFont="1" applyBorder="1" applyAlignment="1">
      <alignment horizontal="center" vertical="center"/>
    </xf>
    <xf numFmtId="0" fontId="27" fillId="0" borderId="9" xfId="0" applyFont="1" applyBorder="1" applyAlignment="1">
      <alignment vertical="center"/>
    </xf>
    <xf numFmtId="0" fontId="27" fillId="0" borderId="0" xfId="0" applyFont="1" applyAlignment="1">
      <alignment vertical="center"/>
    </xf>
    <xf numFmtId="9" fontId="21" fillId="14" borderId="2" xfId="2" applyFont="1" applyFill="1" applyBorder="1" applyAlignment="1">
      <alignment horizontal="center" vertical="center"/>
    </xf>
    <xf numFmtId="0" fontId="20" fillId="14" borderId="2" xfId="12" applyFont="1" applyFill="1" applyAlignment="1">
      <alignment horizontal="left" vertical="center" wrapText="1" indent="1"/>
    </xf>
    <xf numFmtId="0" fontId="20" fillId="12" borderId="2" xfId="12" applyFont="1" applyFill="1" applyAlignment="1">
      <alignment horizontal="left" vertical="center" wrapText="1" indent="1"/>
    </xf>
    <xf numFmtId="9" fontId="21" fillId="15" borderId="2" xfId="2" applyFont="1" applyFill="1" applyBorder="1" applyAlignment="1">
      <alignment horizontal="center" vertical="center"/>
    </xf>
    <xf numFmtId="0" fontId="1" fillId="15" borderId="2" xfId="12" applyFont="1" applyFill="1" applyAlignment="1">
      <alignment horizontal="left" vertical="center" wrapText="1" indent="2"/>
    </xf>
    <xf numFmtId="0" fontId="22" fillId="15" borderId="2" xfId="12" applyFont="1" applyFill="1" applyAlignment="1">
      <alignment horizontal="left" vertical="center" wrapText="1" indent="2"/>
    </xf>
    <xf numFmtId="0" fontId="1" fillId="0" borderId="0" xfId="0" applyFont="1"/>
    <xf numFmtId="0" fontId="1" fillId="0" borderId="0" xfId="0" applyFont="1" applyAlignment="1">
      <alignment wrapText="1"/>
    </xf>
    <xf numFmtId="170" fontId="1" fillId="6" borderId="2" xfId="0" applyNumberFormat="1" applyFont="1" applyFill="1" applyBorder="1" applyAlignment="1">
      <alignment horizontal="center" vertical="center"/>
    </xf>
    <xf numFmtId="0" fontId="1" fillId="3" borderId="2" xfId="12" applyFont="1" applyFill="1" applyAlignment="1">
      <alignment horizontal="left" vertical="center" wrapText="1" indent="2"/>
    </xf>
    <xf numFmtId="0" fontId="1" fillId="3" borderId="2" xfId="11" applyFont="1" applyFill="1">
      <alignment horizontal="center" vertical="center"/>
    </xf>
    <xf numFmtId="170" fontId="1" fillId="3" borderId="2" xfId="10" applyNumberFormat="1" applyFont="1" applyFill="1">
      <alignment horizontal="center" vertical="center"/>
    </xf>
    <xf numFmtId="1" fontId="1" fillId="3" borderId="2" xfId="10" applyNumberFormat="1" applyFont="1" applyFill="1">
      <alignment horizontal="center" vertical="center"/>
    </xf>
    <xf numFmtId="0" fontId="1" fillId="14" borderId="2" xfId="11" applyFont="1" applyFill="1">
      <alignment horizontal="center" vertical="center"/>
    </xf>
    <xf numFmtId="170" fontId="1" fillId="14" borderId="2" xfId="10" applyNumberFormat="1" applyFont="1" applyFill="1">
      <alignment horizontal="center" vertical="center"/>
    </xf>
    <xf numFmtId="1" fontId="1" fillId="14" borderId="2" xfId="10" applyNumberFormat="1" applyFont="1" applyFill="1">
      <alignment horizontal="center" vertical="center"/>
    </xf>
    <xf numFmtId="0" fontId="1" fillId="15" borderId="2" xfId="11" applyFont="1" applyFill="1">
      <alignment horizontal="center" vertical="center"/>
    </xf>
    <xf numFmtId="170" fontId="1" fillId="15" borderId="2" xfId="10" applyNumberFormat="1" applyFont="1" applyFill="1">
      <alignment horizontal="center" vertical="center"/>
    </xf>
    <xf numFmtId="1" fontId="1" fillId="15" borderId="2" xfId="10" applyNumberFormat="1" applyFont="1" applyFill="1">
      <alignment horizontal="center" vertical="center"/>
    </xf>
    <xf numFmtId="0" fontId="1" fillId="12" borderId="2" xfId="11" applyFont="1" applyFill="1">
      <alignment horizontal="center" vertical="center"/>
    </xf>
    <xf numFmtId="170" fontId="1" fillId="12" borderId="2" xfId="10" applyNumberFormat="1" applyFont="1" applyFill="1">
      <alignment horizontal="center" vertical="center"/>
    </xf>
    <xf numFmtId="1" fontId="1" fillId="12" borderId="2" xfId="10" applyNumberFormat="1" applyFont="1" applyFill="1">
      <alignment horizontal="center" vertical="center"/>
    </xf>
    <xf numFmtId="0" fontId="1" fillId="13" borderId="2" xfId="12" applyFont="1" applyFill="1" applyAlignment="1">
      <alignment horizontal="left" vertical="center" wrapText="1" indent="2"/>
    </xf>
    <xf numFmtId="0" fontId="1" fillId="13" borderId="2" xfId="11" applyFont="1" applyFill="1">
      <alignment horizontal="center" vertical="center"/>
    </xf>
    <xf numFmtId="170" fontId="1" fillId="13" borderId="2" xfId="10" applyNumberFormat="1" applyFont="1" applyFill="1">
      <alignment horizontal="center" vertical="center"/>
    </xf>
    <xf numFmtId="1" fontId="1" fillId="13" borderId="2" xfId="10" applyNumberFormat="1" applyFont="1" applyFill="1">
      <alignment horizontal="center" vertical="center"/>
    </xf>
    <xf numFmtId="170" fontId="1" fillId="4" borderId="2" xfId="0" applyNumberFormat="1" applyFont="1" applyFill="1" applyBorder="1" applyAlignment="1">
      <alignment horizontal="center" vertical="center"/>
    </xf>
    <xf numFmtId="0" fontId="1" fillId="7" borderId="2" xfId="12" applyFont="1" applyFill="1" applyAlignment="1">
      <alignment horizontal="left" vertical="center" wrapText="1" indent="2"/>
    </xf>
    <xf numFmtId="0" fontId="1" fillId="7" borderId="2" xfId="11" applyFont="1" applyFill="1">
      <alignment horizontal="center" vertical="center"/>
    </xf>
    <xf numFmtId="170" fontId="1" fillId="7" borderId="2" xfId="10" applyNumberFormat="1" applyFont="1" applyFill="1">
      <alignment horizontal="center" vertical="center"/>
    </xf>
    <xf numFmtId="1" fontId="1" fillId="7" borderId="2" xfId="10" applyNumberFormat="1" applyFont="1" applyFill="1">
      <alignment horizontal="center" vertical="center"/>
    </xf>
    <xf numFmtId="170" fontId="1" fillId="11" borderId="2" xfId="0" applyNumberFormat="1" applyFont="1" applyFill="1" applyBorder="1" applyAlignment="1">
      <alignment horizontal="center" vertical="center"/>
    </xf>
    <xf numFmtId="0" fontId="1" fillId="10" borderId="2" xfId="12" applyFont="1" applyFill="1" applyAlignment="1">
      <alignment horizontal="left" vertical="center" wrapText="1" indent="2"/>
    </xf>
    <xf numFmtId="0" fontId="1" fillId="10" borderId="2" xfId="11" applyFont="1" applyFill="1">
      <alignment horizontal="center" vertical="center"/>
    </xf>
    <xf numFmtId="170" fontId="1" fillId="10" borderId="2" xfId="10" applyNumberFormat="1" applyFont="1" applyFill="1">
      <alignment horizontal="center" vertical="center"/>
    </xf>
    <xf numFmtId="1" fontId="1" fillId="10" borderId="2" xfId="10" applyNumberFormat="1" applyFont="1" applyFill="1">
      <alignment horizontal="center" vertical="center"/>
    </xf>
    <xf numFmtId="0" fontId="1" fillId="10" borderId="2" xfId="12" quotePrefix="1" applyFont="1" applyFill="1" applyAlignment="1">
      <alignment horizontal="left" vertical="center" wrapText="1"/>
    </xf>
    <xf numFmtId="0" fontId="0" fillId="0" borderId="2" xfId="0" applyBorder="1" applyAlignment="1">
      <alignment vertical="center"/>
    </xf>
    <xf numFmtId="0" fontId="22" fillId="7" borderId="2" xfId="12" applyFont="1" applyFill="1" applyAlignment="1">
      <alignment horizontal="left" vertical="center" wrapText="1" indent="2"/>
    </xf>
    <xf numFmtId="0" fontId="25" fillId="0" borderId="2" xfId="0" applyFont="1" applyBorder="1" applyAlignment="1">
      <alignment horizontal="left" vertical="center" indent="2"/>
    </xf>
    <xf numFmtId="167" fontId="0" fillId="5" borderId="4" xfId="0" applyNumberFormat="1" applyFill="1" applyBorder="1" applyAlignment="1">
      <alignment horizontal="left" vertical="center" wrapText="1" indent="1"/>
    </xf>
    <xf numFmtId="167" fontId="0" fillId="5" borderId="1" xfId="0" applyNumberFormat="1" applyFill="1" applyBorder="1" applyAlignment="1">
      <alignment horizontal="left" vertical="center" wrapText="1" indent="1"/>
    </xf>
    <xf numFmtId="167" fontId="0" fillId="5" borderId="5" xfId="0" applyNumberFormat="1" applyFill="1" applyBorder="1" applyAlignment="1">
      <alignment horizontal="left" vertical="center" wrapText="1" indent="1"/>
    </xf>
    <xf numFmtId="0" fontId="9" fillId="0" borderId="0" xfId="8" applyAlignment="1">
      <alignment horizontal="right" indent="1"/>
    </xf>
    <xf numFmtId="0" fontId="9" fillId="0" borderId="7" xfId="8" applyBorder="1" applyAlignment="1">
      <alignment horizontal="right" indent="1"/>
    </xf>
    <xf numFmtId="169" fontId="9" fillId="0" borderId="3" xfId="9" applyNumberFormat="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51"/>
  <sheetViews>
    <sheetView showGridLines="0" tabSelected="1" showRuler="0" zoomScale="120" zoomScaleNormal="120" zoomScalePageLayoutView="70" workbookViewId="0">
      <pane ySplit="6" topLeftCell="B14" activePane="bottomLeft" state="frozen"/>
      <selection pane="bottomLeft" activeCell="E18" sqref="E18:F18"/>
    </sheetView>
  </sheetViews>
  <sheetFormatPr defaultColWidth="8.85546875" defaultRowHeight="30" customHeight="1"/>
  <cols>
    <col min="1" max="1" width="2.7109375" style="27" customWidth="1"/>
    <col min="2" max="2" width="48.140625" customWidth="1"/>
    <col min="3" max="3" width="30.7109375" customWidth="1"/>
    <col min="4" max="4" width="10.7109375" customWidth="1"/>
    <col min="5" max="5" width="10.42578125" style="5" customWidth="1"/>
    <col min="6" max="6" width="10.42578125" customWidth="1"/>
    <col min="7" max="7" width="10.42578125" style="65" customWidth="1"/>
    <col min="8" max="8" width="2.7109375" customWidth="1"/>
    <col min="9" max="9" width="6.140625" hidden="1" customWidth="1"/>
    <col min="10" max="65" width="2.42578125" customWidth="1"/>
    <col min="70" max="71" width="10.28515625"/>
  </cols>
  <sheetData>
    <row r="1" spans="1:65" ht="30" customHeight="1">
      <c r="A1" s="28" t="s">
        <v>0</v>
      </c>
      <c r="B1" s="30" t="s">
        <v>1</v>
      </c>
      <c r="C1" s="1"/>
      <c r="D1" s="2"/>
      <c r="E1" s="4"/>
      <c r="F1" s="26"/>
      <c r="G1" s="26"/>
      <c r="I1" s="2"/>
      <c r="J1" s="36"/>
    </row>
    <row r="2" spans="1:65" ht="30" customHeight="1">
      <c r="A2" s="27" t="s">
        <v>2</v>
      </c>
      <c r="B2" s="31"/>
      <c r="G2"/>
      <c r="J2" s="37"/>
    </row>
    <row r="3" spans="1:65" ht="39.950000000000003">
      <c r="A3" s="27" t="s">
        <v>3</v>
      </c>
      <c r="B3" s="67" t="s">
        <v>4</v>
      </c>
      <c r="C3" s="124" t="s">
        <v>5</v>
      </c>
      <c r="D3" s="125"/>
      <c r="E3" s="126">
        <v>45845</v>
      </c>
      <c r="F3" s="126"/>
      <c r="G3" s="38"/>
    </row>
    <row r="4" spans="1:65" ht="30" customHeight="1">
      <c r="A4" s="28" t="s">
        <v>6</v>
      </c>
      <c r="C4" s="124" t="s">
        <v>7</v>
      </c>
      <c r="D4" s="125"/>
      <c r="E4" s="7">
        <v>1</v>
      </c>
      <c r="G4"/>
      <c r="J4" s="121">
        <f>J5</f>
        <v>45845</v>
      </c>
      <c r="K4" s="122"/>
      <c r="L4" s="122"/>
      <c r="M4" s="122"/>
      <c r="N4" s="122"/>
      <c r="O4" s="122"/>
      <c r="P4" s="123"/>
      <c r="Q4" s="121">
        <f>Q5</f>
        <v>45852</v>
      </c>
      <c r="R4" s="122"/>
      <c r="S4" s="122"/>
      <c r="T4" s="122"/>
      <c r="U4" s="122"/>
      <c r="V4" s="122"/>
      <c r="W4" s="123"/>
      <c r="X4" s="121">
        <f>X5</f>
        <v>45859</v>
      </c>
      <c r="Y4" s="122"/>
      <c r="Z4" s="122"/>
      <c r="AA4" s="122"/>
      <c r="AB4" s="122"/>
      <c r="AC4" s="122"/>
      <c r="AD4" s="123"/>
      <c r="AE4" s="121">
        <f>AE5</f>
        <v>45866</v>
      </c>
      <c r="AF4" s="122"/>
      <c r="AG4" s="122"/>
      <c r="AH4" s="122"/>
      <c r="AI4" s="122"/>
      <c r="AJ4" s="122"/>
      <c r="AK4" s="123"/>
      <c r="AL4" s="121">
        <f>AL5</f>
        <v>45873</v>
      </c>
      <c r="AM4" s="122"/>
      <c r="AN4" s="122"/>
      <c r="AO4" s="122"/>
      <c r="AP4" s="122"/>
      <c r="AQ4" s="122"/>
      <c r="AR4" s="123"/>
      <c r="AS4" s="121">
        <f>AS5</f>
        <v>45880</v>
      </c>
      <c r="AT4" s="122"/>
      <c r="AU4" s="122"/>
      <c r="AV4" s="122"/>
      <c r="AW4" s="122"/>
      <c r="AX4" s="122"/>
      <c r="AY4" s="123"/>
      <c r="AZ4" s="121">
        <f>AZ5</f>
        <v>45887</v>
      </c>
      <c r="BA4" s="122"/>
      <c r="BB4" s="122"/>
      <c r="BC4" s="122"/>
      <c r="BD4" s="122"/>
      <c r="BE4" s="122"/>
      <c r="BF4" s="123"/>
      <c r="BG4" s="121">
        <f>BG5</f>
        <v>45894</v>
      </c>
      <c r="BH4" s="122"/>
      <c r="BI4" s="122"/>
      <c r="BJ4" s="122"/>
      <c r="BK4" s="122"/>
      <c r="BL4" s="122"/>
      <c r="BM4" s="123"/>
    </row>
    <row r="5" spans="1:65" ht="15" customHeight="1">
      <c r="A5" s="28" t="s">
        <v>8</v>
      </c>
      <c r="B5" s="35"/>
      <c r="C5" s="35"/>
      <c r="D5" s="35"/>
      <c r="E5" s="35"/>
      <c r="F5" s="35"/>
      <c r="G5" s="35"/>
      <c r="H5" s="35"/>
      <c r="J5" s="10">
        <f>Project_Start-WEEKDAY(Project_Start,1)+2+7*(Display_Week-1)</f>
        <v>45845</v>
      </c>
      <c r="K5" s="9">
        <f>J5+1</f>
        <v>45846</v>
      </c>
      <c r="L5" s="9">
        <f t="shared" ref="L5:AY5" si="0">K5+1</f>
        <v>45847</v>
      </c>
      <c r="M5" s="9">
        <f t="shared" si="0"/>
        <v>45848</v>
      </c>
      <c r="N5" s="9">
        <f t="shared" si="0"/>
        <v>45849</v>
      </c>
      <c r="O5" s="9">
        <f t="shared" si="0"/>
        <v>45850</v>
      </c>
      <c r="P5" s="11">
        <f t="shared" si="0"/>
        <v>45851</v>
      </c>
      <c r="Q5" s="10">
        <f>P5+1</f>
        <v>45852</v>
      </c>
      <c r="R5" s="9">
        <f>Q5+1</f>
        <v>45853</v>
      </c>
      <c r="S5" s="9">
        <f t="shared" si="0"/>
        <v>45854</v>
      </c>
      <c r="T5" s="9">
        <f t="shared" si="0"/>
        <v>45855</v>
      </c>
      <c r="U5" s="9">
        <f t="shared" si="0"/>
        <v>45856</v>
      </c>
      <c r="V5" s="9">
        <f t="shared" si="0"/>
        <v>45857</v>
      </c>
      <c r="W5" s="11">
        <f t="shared" si="0"/>
        <v>45858</v>
      </c>
      <c r="X5" s="10">
        <f>W5+1</f>
        <v>45859</v>
      </c>
      <c r="Y5" s="9">
        <f>X5+1</f>
        <v>45860</v>
      </c>
      <c r="Z5" s="9">
        <f t="shared" si="0"/>
        <v>45861</v>
      </c>
      <c r="AA5" s="9">
        <f t="shared" si="0"/>
        <v>45862</v>
      </c>
      <c r="AB5" s="9">
        <f t="shared" si="0"/>
        <v>45863</v>
      </c>
      <c r="AC5" s="9">
        <f t="shared" si="0"/>
        <v>45864</v>
      </c>
      <c r="AD5" s="11">
        <f t="shared" si="0"/>
        <v>45865</v>
      </c>
      <c r="AE5" s="10">
        <f>AD5+1</f>
        <v>45866</v>
      </c>
      <c r="AF5" s="9">
        <f>AE5+1</f>
        <v>45867</v>
      </c>
      <c r="AG5" s="9">
        <f t="shared" si="0"/>
        <v>45868</v>
      </c>
      <c r="AH5" s="9">
        <f t="shared" si="0"/>
        <v>45869</v>
      </c>
      <c r="AI5" s="9">
        <f t="shared" si="0"/>
        <v>45870</v>
      </c>
      <c r="AJ5" s="9">
        <f t="shared" si="0"/>
        <v>45871</v>
      </c>
      <c r="AK5" s="11">
        <f t="shared" si="0"/>
        <v>45872</v>
      </c>
      <c r="AL5" s="10">
        <f>AK5+1</f>
        <v>45873</v>
      </c>
      <c r="AM5" s="9">
        <f>AL5+1</f>
        <v>45874</v>
      </c>
      <c r="AN5" s="9">
        <f t="shared" si="0"/>
        <v>45875</v>
      </c>
      <c r="AO5" s="9">
        <f t="shared" si="0"/>
        <v>45876</v>
      </c>
      <c r="AP5" s="9">
        <f t="shared" si="0"/>
        <v>45877</v>
      </c>
      <c r="AQ5" s="9">
        <f t="shared" si="0"/>
        <v>45878</v>
      </c>
      <c r="AR5" s="11">
        <f t="shared" si="0"/>
        <v>45879</v>
      </c>
      <c r="AS5" s="10">
        <f>AR5+1</f>
        <v>45880</v>
      </c>
      <c r="AT5" s="9">
        <f>AS5+1</f>
        <v>45881</v>
      </c>
      <c r="AU5" s="9">
        <f t="shared" si="0"/>
        <v>45882</v>
      </c>
      <c r="AV5" s="9">
        <f t="shared" si="0"/>
        <v>45883</v>
      </c>
      <c r="AW5" s="9">
        <f t="shared" si="0"/>
        <v>45884</v>
      </c>
      <c r="AX5" s="9">
        <f t="shared" si="0"/>
        <v>45885</v>
      </c>
      <c r="AY5" s="11">
        <f t="shared" si="0"/>
        <v>45886</v>
      </c>
      <c r="AZ5" s="10">
        <f>AY5+1</f>
        <v>45887</v>
      </c>
      <c r="BA5" s="9">
        <f>AZ5+1</f>
        <v>45888</v>
      </c>
      <c r="BB5" s="9">
        <f t="shared" ref="BB5:BF5" si="1">BA5+1</f>
        <v>45889</v>
      </c>
      <c r="BC5" s="9">
        <f t="shared" si="1"/>
        <v>45890</v>
      </c>
      <c r="BD5" s="9">
        <f t="shared" si="1"/>
        <v>45891</v>
      </c>
      <c r="BE5" s="9">
        <f t="shared" si="1"/>
        <v>45892</v>
      </c>
      <c r="BF5" s="11">
        <f t="shared" si="1"/>
        <v>45893</v>
      </c>
      <c r="BG5" s="10">
        <f>BF5+1</f>
        <v>45894</v>
      </c>
      <c r="BH5" s="9">
        <f>BG5+1</f>
        <v>45895</v>
      </c>
      <c r="BI5" s="9">
        <f t="shared" ref="BI5:BM5" si="2">BH5+1</f>
        <v>45896</v>
      </c>
      <c r="BJ5" s="9">
        <f t="shared" si="2"/>
        <v>45897</v>
      </c>
      <c r="BK5" s="9">
        <f t="shared" si="2"/>
        <v>45898</v>
      </c>
      <c r="BL5" s="9">
        <f t="shared" si="2"/>
        <v>45899</v>
      </c>
      <c r="BM5" s="11">
        <f t="shared" si="2"/>
        <v>45900</v>
      </c>
    </row>
    <row r="6" spans="1:65" ht="30" customHeight="1" thickBot="1">
      <c r="A6" s="28" t="s">
        <v>9</v>
      </c>
      <c r="B6" s="39" t="s">
        <v>10</v>
      </c>
      <c r="C6" s="40" t="s">
        <v>11</v>
      </c>
      <c r="D6" s="40" t="s">
        <v>12</v>
      </c>
      <c r="E6" s="40" t="s">
        <v>13</v>
      </c>
      <c r="F6" s="40" t="s">
        <v>14</v>
      </c>
      <c r="G6" s="40" t="s">
        <v>15</v>
      </c>
      <c r="H6" s="8"/>
      <c r="I6" s="8" t="s">
        <v>16</v>
      </c>
      <c r="J6" s="12" t="str">
        <f t="shared" ref="J6" si="3">LEFT(TEXT(J5,"ddd"),1)</f>
        <v>M</v>
      </c>
      <c r="K6" s="12" t="str">
        <f t="shared" ref="K6:AS6" si="4">LEFT(TEXT(K5,"ddd"),1)</f>
        <v>T</v>
      </c>
      <c r="L6" s="12" t="str">
        <f t="shared" si="4"/>
        <v>W</v>
      </c>
      <c r="M6" s="12" t="str">
        <f t="shared" si="4"/>
        <v>T</v>
      </c>
      <c r="N6" s="12" t="str">
        <f t="shared" si="4"/>
        <v>F</v>
      </c>
      <c r="O6" s="12" t="str">
        <f t="shared" si="4"/>
        <v>S</v>
      </c>
      <c r="P6" s="12" t="str">
        <f t="shared" si="4"/>
        <v>S</v>
      </c>
      <c r="Q6" s="12" t="str">
        <f t="shared" si="4"/>
        <v>M</v>
      </c>
      <c r="R6" s="12" t="str">
        <f t="shared" si="4"/>
        <v>T</v>
      </c>
      <c r="S6" s="12" t="str">
        <f t="shared" si="4"/>
        <v>W</v>
      </c>
      <c r="T6" s="12" t="str">
        <f t="shared" si="4"/>
        <v>T</v>
      </c>
      <c r="U6" s="12" t="str">
        <f t="shared" si="4"/>
        <v>F</v>
      </c>
      <c r="V6" s="12" t="str">
        <f t="shared" si="4"/>
        <v>S</v>
      </c>
      <c r="W6" s="12" t="str">
        <f t="shared" si="4"/>
        <v>S</v>
      </c>
      <c r="X6" s="12" t="str">
        <f t="shared" si="4"/>
        <v>M</v>
      </c>
      <c r="Y6" s="12" t="str">
        <f t="shared" si="4"/>
        <v>T</v>
      </c>
      <c r="Z6" s="12" t="str">
        <f t="shared" si="4"/>
        <v>W</v>
      </c>
      <c r="AA6" s="12" t="str">
        <f t="shared" si="4"/>
        <v>T</v>
      </c>
      <c r="AB6" s="12" t="str">
        <f t="shared" si="4"/>
        <v>F</v>
      </c>
      <c r="AC6" s="12" t="str">
        <f t="shared" si="4"/>
        <v>S</v>
      </c>
      <c r="AD6" s="12" t="str">
        <f t="shared" si="4"/>
        <v>S</v>
      </c>
      <c r="AE6" s="12" t="str">
        <f t="shared" si="4"/>
        <v>M</v>
      </c>
      <c r="AF6" s="12" t="str">
        <f t="shared" si="4"/>
        <v>T</v>
      </c>
      <c r="AG6" s="12" t="str">
        <f t="shared" si="4"/>
        <v>W</v>
      </c>
      <c r="AH6" s="12" t="str">
        <f t="shared" si="4"/>
        <v>T</v>
      </c>
      <c r="AI6" s="12" t="str">
        <f t="shared" si="4"/>
        <v>F</v>
      </c>
      <c r="AJ6" s="12" t="str">
        <f t="shared" si="4"/>
        <v>S</v>
      </c>
      <c r="AK6" s="12" t="str">
        <f t="shared" si="4"/>
        <v>S</v>
      </c>
      <c r="AL6" s="12" t="str">
        <f t="shared" si="4"/>
        <v>M</v>
      </c>
      <c r="AM6" s="12" t="str">
        <f t="shared" si="4"/>
        <v>T</v>
      </c>
      <c r="AN6" s="12" t="str">
        <f t="shared" si="4"/>
        <v>W</v>
      </c>
      <c r="AO6" s="12" t="str">
        <f t="shared" si="4"/>
        <v>T</v>
      </c>
      <c r="AP6" s="12" t="str">
        <f t="shared" si="4"/>
        <v>F</v>
      </c>
      <c r="AQ6" s="12" t="str">
        <f t="shared" si="4"/>
        <v>S</v>
      </c>
      <c r="AR6" s="12" t="str">
        <f t="shared" si="4"/>
        <v>S</v>
      </c>
      <c r="AS6" s="12" t="str">
        <f t="shared" si="4"/>
        <v>M</v>
      </c>
      <c r="AT6" s="12" t="str">
        <f t="shared" ref="AT6:BM6" si="5">LEFT(TEXT(AT5,"ddd"),1)</f>
        <v>T</v>
      </c>
      <c r="AU6" s="12" t="str">
        <f t="shared" si="5"/>
        <v>W</v>
      </c>
      <c r="AV6" s="12" t="str">
        <f t="shared" si="5"/>
        <v>T</v>
      </c>
      <c r="AW6" s="12" t="str">
        <f t="shared" si="5"/>
        <v>F</v>
      </c>
      <c r="AX6" s="12" t="str">
        <f t="shared" si="5"/>
        <v>S</v>
      </c>
      <c r="AY6" s="12" t="str">
        <f t="shared" si="5"/>
        <v>S</v>
      </c>
      <c r="AZ6" s="12" t="str">
        <f t="shared" si="5"/>
        <v>M</v>
      </c>
      <c r="BA6" s="12" t="str">
        <f t="shared" si="5"/>
        <v>T</v>
      </c>
      <c r="BB6" s="12" t="str">
        <f t="shared" si="5"/>
        <v>W</v>
      </c>
      <c r="BC6" s="12" t="str">
        <f t="shared" si="5"/>
        <v>T</v>
      </c>
      <c r="BD6" s="12" t="str">
        <f t="shared" si="5"/>
        <v>F</v>
      </c>
      <c r="BE6" s="12" t="str">
        <f t="shared" si="5"/>
        <v>S</v>
      </c>
      <c r="BF6" s="12" t="str">
        <f t="shared" si="5"/>
        <v>S</v>
      </c>
      <c r="BG6" s="12" t="str">
        <f t="shared" si="5"/>
        <v>M</v>
      </c>
      <c r="BH6" s="12" t="str">
        <f t="shared" si="5"/>
        <v>T</v>
      </c>
      <c r="BI6" s="12" t="str">
        <f t="shared" si="5"/>
        <v>W</v>
      </c>
      <c r="BJ6" s="12" t="str">
        <f t="shared" si="5"/>
        <v>T</v>
      </c>
      <c r="BK6" s="12" t="str">
        <f t="shared" si="5"/>
        <v>F</v>
      </c>
      <c r="BL6" s="12" t="str">
        <f t="shared" si="5"/>
        <v>S</v>
      </c>
      <c r="BM6" s="12" t="str">
        <f t="shared" si="5"/>
        <v>S</v>
      </c>
    </row>
    <row r="7" spans="1:65" ht="30" hidden="1" customHeight="1" thickBot="1">
      <c r="A7" s="27" t="s">
        <v>17</v>
      </c>
      <c r="B7" s="87"/>
      <c r="C7" s="88"/>
      <c r="D7" s="87"/>
      <c r="E7" s="87"/>
      <c r="F7" s="87"/>
      <c r="G7" s="87"/>
      <c r="I7" t="str">
        <f ca="1">IF(OR(ISBLANK(task_start),ISBLANK(task_end)),"",task_end-task_start+1)</f>
        <v/>
      </c>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row>
    <row r="8" spans="1:65" s="3" customFormat="1" ht="30" customHeight="1" thickBot="1">
      <c r="A8" s="28" t="s">
        <v>18</v>
      </c>
      <c r="B8" s="41" t="s">
        <v>19</v>
      </c>
      <c r="C8" s="53"/>
      <c r="D8" s="42"/>
      <c r="E8" s="89"/>
      <c r="F8" s="43"/>
      <c r="G8" s="60"/>
      <c r="H8" s="16"/>
      <c r="I8" s="16" t="str">
        <f t="shared" ref="I8:I48" ca="1" si="6">IF(OR(ISBLANK(task_start),ISBLANK(task_end)),"",task_end-task_start+1)</f>
        <v/>
      </c>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row>
    <row r="9" spans="1:65" s="3" customFormat="1" ht="30" customHeight="1" thickBot="1">
      <c r="A9" s="28"/>
      <c r="B9" s="90" t="s">
        <v>20</v>
      </c>
      <c r="C9" s="91"/>
      <c r="D9" s="44">
        <v>1</v>
      </c>
      <c r="E9" s="92">
        <v>45845</v>
      </c>
      <c r="F9" s="92">
        <v>45848</v>
      </c>
      <c r="G9" s="93">
        <f t="shared" ref="G9:G11" si="7">NETWORKDAYS(E9,F9)</f>
        <v>4</v>
      </c>
      <c r="H9" s="16"/>
      <c r="I9" s="16">
        <f t="shared" ca="1" si="6"/>
        <v>4</v>
      </c>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row>
    <row r="10" spans="1:65" s="3" customFormat="1" ht="30" customHeight="1" thickBot="1">
      <c r="A10" s="27"/>
      <c r="B10" s="90" t="s">
        <v>21</v>
      </c>
      <c r="C10" s="91"/>
      <c r="D10" s="44">
        <v>1</v>
      </c>
      <c r="E10" s="92">
        <v>45849</v>
      </c>
      <c r="F10" s="92">
        <v>45849</v>
      </c>
      <c r="G10" s="93">
        <f t="shared" ref="G10" si="8">NETWORKDAYS(E10,F10)</f>
        <v>1</v>
      </c>
      <c r="H10" s="16"/>
      <c r="I10" s="16">
        <f t="shared" ca="1" si="6"/>
        <v>1</v>
      </c>
      <c r="J10" s="23"/>
      <c r="K10" s="23"/>
      <c r="L10" s="23"/>
      <c r="M10" s="23"/>
      <c r="N10" s="23"/>
      <c r="O10" s="23"/>
      <c r="P10" s="23"/>
      <c r="Q10" s="23"/>
      <c r="R10" s="23"/>
      <c r="S10" s="23"/>
      <c r="T10" s="23"/>
      <c r="U10" s="23"/>
      <c r="V10" s="24"/>
      <c r="W10" s="24"/>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row>
    <row r="11" spans="1:65" s="3" customFormat="1" ht="30" customHeight="1" thickBot="1">
      <c r="A11" s="27"/>
      <c r="B11" s="90" t="s">
        <v>22</v>
      </c>
      <c r="C11" s="91"/>
      <c r="D11" s="44">
        <v>1</v>
      </c>
      <c r="E11" s="92">
        <v>45852</v>
      </c>
      <c r="F11" s="92">
        <v>45852</v>
      </c>
      <c r="G11" s="93">
        <f t="shared" si="7"/>
        <v>1</v>
      </c>
      <c r="H11" s="16"/>
      <c r="I11" s="16">
        <f t="shared" ca="1" si="6"/>
        <v>1</v>
      </c>
      <c r="J11" s="23"/>
      <c r="K11" s="23"/>
      <c r="L11" s="23"/>
      <c r="M11" s="23"/>
      <c r="N11" s="23"/>
      <c r="O11" s="23"/>
      <c r="P11" s="23"/>
      <c r="Q11" s="23"/>
      <c r="R11" s="23"/>
      <c r="S11" s="23"/>
      <c r="T11" s="23"/>
      <c r="U11" s="23"/>
      <c r="V11" s="24"/>
      <c r="W11" s="24"/>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row>
    <row r="12" spans="1:65" s="3" customFormat="1" ht="30" customHeight="1" thickBot="1">
      <c r="A12" s="27"/>
      <c r="B12" s="82" t="s">
        <v>23</v>
      </c>
      <c r="C12" s="94"/>
      <c r="D12" s="81"/>
      <c r="E12" s="95"/>
      <c r="F12" s="95"/>
      <c r="G12" s="96"/>
      <c r="H12" s="16"/>
      <c r="I12" s="16"/>
      <c r="J12" s="23"/>
      <c r="K12" s="23"/>
      <c r="L12" s="23"/>
      <c r="M12" s="23"/>
      <c r="N12" s="23"/>
      <c r="O12" s="23"/>
      <c r="P12" s="23"/>
      <c r="Q12" s="23"/>
      <c r="R12" s="23"/>
      <c r="S12" s="23"/>
      <c r="T12" s="23"/>
      <c r="U12" s="23"/>
      <c r="V12" s="24"/>
      <c r="W12" s="24"/>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row>
    <row r="13" spans="1:65" s="3" customFormat="1" ht="30" customHeight="1" thickBot="1">
      <c r="A13" s="27"/>
      <c r="B13" s="85" t="s">
        <v>24</v>
      </c>
      <c r="C13" s="97"/>
      <c r="D13" s="84">
        <v>1</v>
      </c>
      <c r="E13" s="98">
        <v>45849</v>
      </c>
      <c r="F13" s="98">
        <v>45849</v>
      </c>
      <c r="G13" s="99">
        <f t="shared" ref="G13" si="9">NETWORKDAYS(E13,F13)</f>
        <v>1</v>
      </c>
      <c r="H13" s="16"/>
      <c r="I13" s="16"/>
      <c r="J13" s="23"/>
      <c r="K13" s="23"/>
      <c r="L13" s="23"/>
      <c r="M13" s="23"/>
      <c r="N13" s="23"/>
      <c r="O13" s="23"/>
      <c r="P13" s="23"/>
      <c r="Q13" s="23"/>
      <c r="R13" s="23"/>
      <c r="S13" s="23"/>
      <c r="T13" s="23"/>
      <c r="U13" s="23"/>
      <c r="V13" s="24"/>
      <c r="W13" s="24"/>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row>
    <row r="14" spans="1:65" s="3" customFormat="1" ht="30" customHeight="1" thickBot="1">
      <c r="A14" s="27"/>
      <c r="B14" s="86" t="s">
        <v>25</v>
      </c>
      <c r="C14" s="97"/>
      <c r="D14" s="84"/>
      <c r="E14" s="98"/>
      <c r="F14" s="98"/>
      <c r="G14" s="99"/>
      <c r="H14" s="16"/>
      <c r="I14" s="16"/>
      <c r="J14" s="23"/>
      <c r="K14" s="23"/>
      <c r="L14" s="23"/>
      <c r="M14" s="23"/>
      <c r="N14" s="23"/>
      <c r="O14" s="23"/>
      <c r="P14" s="23"/>
      <c r="Q14" s="23"/>
      <c r="R14" s="23"/>
      <c r="S14" s="23"/>
      <c r="T14" s="23"/>
      <c r="U14" s="23"/>
      <c r="V14" s="24"/>
      <c r="W14" s="24"/>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row>
    <row r="15" spans="1:65" s="3" customFormat="1" ht="30" customHeight="1" thickBot="1">
      <c r="A15" s="27"/>
      <c r="B15" s="83" t="s">
        <v>26</v>
      </c>
      <c r="C15" s="100"/>
      <c r="D15" s="69"/>
      <c r="E15" s="101"/>
      <c r="F15" s="101"/>
      <c r="G15" s="102"/>
      <c r="H15" s="16"/>
      <c r="I15" s="16"/>
      <c r="J15" s="23"/>
      <c r="K15" s="23"/>
      <c r="L15" s="23"/>
      <c r="M15" s="23"/>
      <c r="N15" s="23"/>
      <c r="O15" s="23"/>
      <c r="P15" s="23"/>
      <c r="Q15" s="23"/>
      <c r="R15" s="23"/>
      <c r="S15" s="23"/>
      <c r="T15" s="23"/>
      <c r="U15" s="23"/>
      <c r="V15" s="24"/>
      <c r="W15" s="24"/>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row>
    <row r="16" spans="1:65" s="3" customFormat="1" ht="30" customHeight="1" thickBot="1">
      <c r="A16" s="27"/>
      <c r="B16" s="103" t="s">
        <v>27</v>
      </c>
      <c r="C16" s="104"/>
      <c r="D16" s="70">
        <v>1</v>
      </c>
      <c r="E16" s="105">
        <v>45852</v>
      </c>
      <c r="F16" s="105">
        <v>45852</v>
      </c>
      <c r="G16" s="106">
        <f t="shared" ref="G16:G22" si="10">NETWORKDAYS(E16,F16)</f>
        <v>1</v>
      </c>
      <c r="H16" s="16"/>
      <c r="I16" s="16"/>
      <c r="J16" s="23"/>
      <c r="K16" s="23"/>
      <c r="L16" s="23"/>
      <c r="M16" s="23"/>
      <c r="N16" s="23"/>
      <c r="O16" s="23"/>
      <c r="P16" s="23"/>
      <c r="Q16" s="23"/>
      <c r="R16" s="23"/>
      <c r="S16" s="23"/>
      <c r="T16" s="23"/>
      <c r="U16" s="23"/>
      <c r="V16" s="24"/>
      <c r="W16" s="24"/>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row>
    <row r="17" spans="1:65" s="3" customFormat="1" ht="30" customHeight="1">
      <c r="A17" s="27"/>
      <c r="B17" s="103" t="s">
        <v>28</v>
      </c>
      <c r="C17" s="104"/>
      <c r="D17" s="70">
        <v>0</v>
      </c>
      <c r="E17" s="105">
        <v>45926</v>
      </c>
      <c r="F17" s="105">
        <v>45926</v>
      </c>
      <c r="G17" s="106">
        <f t="shared" ref="G17" si="11">NETWORKDAYS(E17,F17)</f>
        <v>1</v>
      </c>
      <c r="H17" s="16"/>
      <c r="I17" s="16"/>
      <c r="J17" s="23"/>
      <c r="K17" s="23"/>
      <c r="L17" s="23"/>
      <c r="M17" s="23"/>
      <c r="N17" s="23"/>
      <c r="O17" s="23"/>
      <c r="P17" s="23"/>
      <c r="Q17" s="23"/>
      <c r="R17" s="23"/>
      <c r="S17" s="23"/>
      <c r="T17" s="23"/>
      <c r="U17" s="23"/>
      <c r="V17" s="24"/>
      <c r="W17" s="24"/>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row>
    <row r="18" spans="1:65" s="3" customFormat="1" ht="30" customHeight="1" thickBot="1">
      <c r="A18" s="27"/>
      <c r="B18" s="103" t="s">
        <v>29</v>
      </c>
      <c r="C18" s="104"/>
      <c r="D18" s="70">
        <v>0</v>
      </c>
      <c r="E18" s="105">
        <v>45926</v>
      </c>
      <c r="F18" s="105">
        <v>45926</v>
      </c>
      <c r="G18" s="106">
        <f t="shared" si="10"/>
        <v>1</v>
      </c>
      <c r="H18" s="16"/>
      <c r="I18" s="16"/>
      <c r="J18" s="23"/>
      <c r="K18" s="23"/>
      <c r="L18" s="23"/>
      <c r="M18" s="23"/>
      <c r="N18" s="23"/>
      <c r="O18" s="23"/>
      <c r="P18" s="23"/>
      <c r="Q18" s="23"/>
      <c r="R18" s="23"/>
      <c r="S18" s="23"/>
      <c r="T18" s="23"/>
      <c r="U18" s="23"/>
      <c r="V18" s="24"/>
      <c r="W18" s="24"/>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row>
    <row r="19" spans="1:65" s="3" customFormat="1" ht="30" customHeight="1" thickBot="1">
      <c r="A19" s="27"/>
      <c r="B19" s="72" t="s">
        <v>30</v>
      </c>
      <c r="C19" s="104"/>
      <c r="D19" s="70"/>
      <c r="E19" s="105"/>
      <c r="F19" s="105"/>
      <c r="G19" s="106"/>
      <c r="H19" s="16"/>
      <c r="I19" s="16"/>
      <c r="J19" s="23"/>
      <c r="K19" s="23"/>
      <c r="L19" s="23"/>
      <c r="M19" s="23"/>
      <c r="N19" s="23"/>
      <c r="O19" s="23"/>
      <c r="P19" s="23"/>
      <c r="Q19" s="23"/>
      <c r="R19" s="23"/>
      <c r="S19" s="23"/>
      <c r="T19" s="23"/>
      <c r="U19" s="23"/>
      <c r="V19" s="24"/>
      <c r="W19" s="24"/>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row>
    <row r="20" spans="1:65" s="3" customFormat="1" ht="30" customHeight="1" thickBot="1">
      <c r="A20" s="27"/>
      <c r="B20" s="103" t="s">
        <v>31</v>
      </c>
      <c r="C20" s="104"/>
      <c r="D20" s="70">
        <v>0</v>
      </c>
      <c r="E20" s="105">
        <v>45853</v>
      </c>
      <c r="F20" s="105">
        <v>45853</v>
      </c>
      <c r="G20" s="106">
        <f t="shared" si="10"/>
        <v>1</v>
      </c>
      <c r="H20" s="16"/>
      <c r="I20" s="16"/>
      <c r="J20" s="23"/>
      <c r="K20" s="23"/>
      <c r="L20" s="23"/>
      <c r="M20" s="23"/>
      <c r="N20" s="23"/>
      <c r="O20" s="23"/>
      <c r="P20" s="23"/>
      <c r="Q20" s="23"/>
      <c r="R20" s="23"/>
      <c r="S20" s="23"/>
      <c r="T20" s="23"/>
      <c r="U20" s="23"/>
      <c r="V20" s="24"/>
      <c r="W20" s="24"/>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row>
    <row r="21" spans="1:65" s="3" customFormat="1" ht="30" customHeight="1" thickBot="1">
      <c r="A21" s="27"/>
      <c r="B21" s="103" t="s">
        <v>32</v>
      </c>
      <c r="C21" s="104"/>
      <c r="D21" s="70">
        <v>0</v>
      </c>
      <c r="E21" s="105">
        <v>45859</v>
      </c>
      <c r="F21" s="105">
        <v>45859</v>
      </c>
      <c r="G21" s="106">
        <f t="shared" si="10"/>
        <v>1</v>
      </c>
      <c r="H21" s="16"/>
      <c r="I21" s="16"/>
      <c r="J21" s="23"/>
      <c r="K21" s="23"/>
      <c r="L21" s="23"/>
      <c r="M21" s="23"/>
      <c r="N21" s="23"/>
      <c r="O21" s="23"/>
      <c r="P21" s="23"/>
      <c r="Q21" s="23"/>
      <c r="R21" s="23"/>
      <c r="S21" s="23"/>
      <c r="T21" s="23"/>
      <c r="U21" s="23"/>
      <c r="V21" s="24"/>
      <c r="W21" s="24"/>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row>
    <row r="22" spans="1:65" s="3" customFormat="1" ht="30" customHeight="1" thickBot="1">
      <c r="A22" s="27"/>
      <c r="B22" s="103" t="s">
        <v>33</v>
      </c>
      <c r="C22" s="104"/>
      <c r="D22" s="70">
        <v>0</v>
      </c>
      <c r="E22" s="105">
        <v>45866</v>
      </c>
      <c r="F22" s="105">
        <v>45866</v>
      </c>
      <c r="G22" s="106">
        <f t="shared" si="10"/>
        <v>1</v>
      </c>
      <c r="H22" s="16"/>
      <c r="I22" s="16"/>
      <c r="J22" s="23"/>
      <c r="K22" s="23"/>
      <c r="L22" s="23"/>
      <c r="M22" s="23"/>
      <c r="N22" s="23"/>
      <c r="O22" s="23"/>
      <c r="P22" s="23"/>
      <c r="Q22" s="23"/>
      <c r="R22" s="23"/>
      <c r="S22" s="23"/>
      <c r="T22" s="23"/>
      <c r="U22" s="23"/>
      <c r="V22" s="24"/>
      <c r="W22" s="24"/>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row>
    <row r="23" spans="1:65" s="3" customFormat="1" ht="30" customHeight="1" thickBot="1">
      <c r="A23" s="27" t="s">
        <v>34</v>
      </c>
      <c r="B23" s="45" t="s">
        <v>35</v>
      </c>
      <c r="C23" s="54"/>
      <c r="D23" s="46"/>
      <c r="E23" s="107"/>
      <c r="F23" s="47"/>
      <c r="G23" s="61"/>
      <c r="H23" s="16"/>
      <c r="I23" s="16" t="str">
        <f t="shared" ca="1" si="6"/>
        <v/>
      </c>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row>
    <row r="24" spans="1:65" s="3" customFormat="1" ht="30" customHeight="1" thickBot="1">
      <c r="A24" s="27"/>
      <c r="B24" s="108" t="s">
        <v>36</v>
      </c>
      <c r="C24" s="109"/>
      <c r="D24" s="48">
        <v>0</v>
      </c>
      <c r="E24" s="110">
        <v>45845</v>
      </c>
      <c r="F24" s="110">
        <v>45845</v>
      </c>
      <c r="G24" s="111">
        <f>NETWORKDAYS(E24,F24)</f>
        <v>1</v>
      </c>
      <c r="H24" s="16"/>
      <c r="I24" s="16">
        <f t="shared" ca="1" si="6"/>
        <v>1</v>
      </c>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row>
    <row r="25" spans="1:65" s="3" customFormat="1" ht="30" customHeight="1" thickBot="1">
      <c r="A25" s="27"/>
      <c r="B25" s="108" t="s">
        <v>37</v>
      </c>
      <c r="C25" s="109"/>
      <c r="D25" s="48">
        <v>0</v>
      </c>
      <c r="E25" s="110">
        <v>45846</v>
      </c>
      <c r="F25" s="110">
        <v>45856</v>
      </c>
      <c r="G25" s="111">
        <f t="shared" ref="G25:G38" si="12">NETWORKDAYS(E25,F25)</f>
        <v>9</v>
      </c>
      <c r="H25" s="16"/>
      <c r="I25" s="16"/>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row>
    <row r="26" spans="1:65" s="3" customFormat="1" ht="30" customHeight="1" thickBot="1">
      <c r="A26" s="27"/>
      <c r="B26" s="108" t="s">
        <v>38</v>
      </c>
      <c r="C26" s="109"/>
      <c r="D26" s="48">
        <v>0</v>
      </c>
      <c r="E26" s="110">
        <v>45856</v>
      </c>
      <c r="F26" s="110">
        <v>45856</v>
      </c>
      <c r="G26" s="111">
        <f t="shared" si="12"/>
        <v>1</v>
      </c>
      <c r="H26" s="16"/>
      <c r="I26" s="16"/>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row>
    <row r="27" spans="1:65" s="3" customFormat="1" ht="30" customHeight="1" thickBot="1">
      <c r="A27" s="27"/>
      <c r="B27" s="108" t="s">
        <v>39</v>
      </c>
      <c r="C27" s="109"/>
      <c r="D27" s="48">
        <v>0</v>
      </c>
      <c r="E27" s="110">
        <v>45853</v>
      </c>
      <c r="F27" s="110">
        <v>45853</v>
      </c>
      <c r="G27" s="111">
        <f t="shared" si="12"/>
        <v>1</v>
      </c>
      <c r="H27" s="16"/>
      <c r="I27" s="16"/>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row>
    <row r="28" spans="1:65" s="3" customFormat="1" ht="30" customHeight="1" thickBot="1">
      <c r="A28" s="27"/>
      <c r="B28" s="108" t="s">
        <v>40</v>
      </c>
      <c r="C28" s="109"/>
      <c r="D28" s="48">
        <v>0</v>
      </c>
      <c r="E28" s="110">
        <v>45859</v>
      </c>
      <c r="F28" s="110">
        <v>45859</v>
      </c>
      <c r="G28" s="111">
        <f t="shared" si="12"/>
        <v>1</v>
      </c>
      <c r="H28" s="16"/>
      <c r="I28" s="16"/>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row>
    <row r="29" spans="1:65" s="3" customFormat="1" ht="30" customHeight="1" thickBot="1">
      <c r="A29" s="27"/>
      <c r="B29" s="108" t="s">
        <v>41</v>
      </c>
      <c r="C29" s="109"/>
      <c r="D29" s="48">
        <v>0</v>
      </c>
      <c r="E29" s="110">
        <v>45859</v>
      </c>
      <c r="F29" s="110">
        <v>45859</v>
      </c>
      <c r="G29" s="111">
        <f t="shared" ref="G29" si="13">NETWORKDAYS(E29,F29)</f>
        <v>1</v>
      </c>
      <c r="H29" s="16"/>
      <c r="I29" s="16"/>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row>
    <row r="30" spans="1:65" s="3" customFormat="1" ht="30" customHeight="1" thickBot="1">
      <c r="A30" s="27"/>
      <c r="B30" s="119" t="s">
        <v>42</v>
      </c>
      <c r="C30" s="120"/>
      <c r="D30" s="48"/>
      <c r="E30" s="110"/>
      <c r="F30" s="110"/>
      <c r="G30" s="111"/>
      <c r="H30" s="16"/>
      <c r="I30" s="16"/>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row>
    <row r="31" spans="1:65" s="3" customFormat="1" ht="30" customHeight="1" thickBot="1">
      <c r="A31" s="27"/>
      <c r="B31" s="108" t="s">
        <v>43</v>
      </c>
      <c r="C31" s="109"/>
      <c r="D31" s="48">
        <v>0</v>
      </c>
      <c r="E31" s="110">
        <v>45860</v>
      </c>
      <c r="F31" s="110">
        <v>45860</v>
      </c>
      <c r="G31" s="111">
        <f t="shared" si="12"/>
        <v>1</v>
      </c>
      <c r="H31" s="16"/>
      <c r="I31" s="16">
        <f t="shared" ca="1" si="6"/>
        <v>1</v>
      </c>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row>
    <row r="32" spans="1:65" s="3" customFormat="1" ht="30" customHeight="1" thickBot="1">
      <c r="A32" s="27"/>
      <c r="B32" s="108" t="s">
        <v>44</v>
      </c>
      <c r="C32" s="109"/>
      <c r="D32" s="48">
        <v>0</v>
      </c>
      <c r="E32" s="110">
        <v>45861</v>
      </c>
      <c r="F32" s="110">
        <v>45861</v>
      </c>
      <c r="G32" s="111">
        <f t="shared" si="12"/>
        <v>1</v>
      </c>
      <c r="H32" s="16"/>
      <c r="I32" s="16">
        <f t="shared" ca="1" si="6"/>
        <v>1</v>
      </c>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row>
    <row r="33" spans="1:65" s="3" customFormat="1" ht="30" customHeight="1" thickBot="1">
      <c r="A33" s="27"/>
      <c r="B33" s="108" t="s">
        <v>45</v>
      </c>
      <c r="C33" s="109"/>
      <c r="D33" s="48">
        <v>0</v>
      </c>
      <c r="E33" s="110">
        <v>45863</v>
      </c>
      <c r="F33" s="110">
        <v>45862</v>
      </c>
      <c r="G33" s="111">
        <f t="shared" si="12"/>
        <v>-2</v>
      </c>
      <c r="H33" s="16"/>
      <c r="I33" s="16">
        <f t="shared" ca="1" si="6"/>
        <v>0</v>
      </c>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row>
    <row r="34" spans="1:65" s="3" customFormat="1" ht="30" customHeight="1" thickBot="1">
      <c r="A34" s="27"/>
      <c r="B34" s="108" t="s">
        <v>46</v>
      </c>
      <c r="C34" s="109"/>
      <c r="D34" s="48">
        <v>0</v>
      </c>
      <c r="E34" s="110">
        <v>45859</v>
      </c>
      <c r="F34" s="110">
        <v>45859</v>
      </c>
      <c r="G34" s="111">
        <f t="shared" si="12"/>
        <v>1</v>
      </c>
      <c r="H34" s="16"/>
      <c r="I34" s="16"/>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row>
    <row r="35" spans="1:65" s="3" customFormat="1" ht="30" customHeight="1" thickBot="1">
      <c r="A35" s="27"/>
      <c r="B35" s="108" t="s">
        <v>47</v>
      </c>
      <c r="C35" s="109"/>
      <c r="D35" s="48">
        <v>0</v>
      </c>
      <c r="E35" s="110">
        <v>45866</v>
      </c>
      <c r="F35" s="110">
        <v>45866</v>
      </c>
      <c r="G35" s="111">
        <f>NETWORKDAYS(E35,F35)</f>
        <v>1</v>
      </c>
      <c r="H35" s="16"/>
      <c r="I35" s="16"/>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row>
    <row r="36" spans="1:65" s="3" customFormat="1" ht="30" customHeight="1" thickBot="1">
      <c r="A36" s="27"/>
      <c r="B36" s="108" t="s">
        <v>48</v>
      </c>
      <c r="C36" s="109"/>
      <c r="D36" s="48">
        <v>0</v>
      </c>
      <c r="E36" s="110">
        <v>45866</v>
      </c>
      <c r="F36" s="110">
        <v>45866</v>
      </c>
      <c r="G36" s="111">
        <f>NETWORKDAYS(E36,F36)</f>
        <v>1</v>
      </c>
      <c r="H36" s="16"/>
      <c r="I36" s="16"/>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row>
    <row r="37" spans="1:65" s="3" customFormat="1" ht="30" customHeight="1" thickBot="1">
      <c r="A37" s="27"/>
      <c r="B37" s="108" t="s">
        <v>49</v>
      </c>
      <c r="C37" s="109"/>
      <c r="D37" s="48">
        <v>0</v>
      </c>
      <c r="E37" s="110">
        <v>45866</v>
      </c>
      <c r="F37" s="110">
        <v>45866</v>
      </c>
      <c r="G37" s="111">
        <f>NETWORKDAYS(E37,F37)</f>
        <v>1</v>
      </c>
      <c r="H37" s="16"/>
      <c r="I37" s="16"/>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row>
    <row r="38" spans="1:65" s="3" customFormat="1" ht="30" customHeight="1" thickBot="1">
      <c r="A38" s="27"/>
      <c r="B38" s="56" t="s">
        <v>50</v>
      </c>
      <c r="C38" s="57"/>
      <c r="D38" s="58"/>
      <c r="E38" s="59">
        <v>45866</v>
      </c>
      <c r="F38" s="59">
        <v>45866</v>
      </c>
      <c r="G38" s="71">
        <f t="shared" si="12"/>
        <v>1</v>
      </c>
      <c r="H38" s="16"/>
      <c r="I38" s="16"/>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row>
    <row r="39" spans="1:65" s="3" customFormat="1" ht="30" customHeight="1" thickBot="1">
      <c r="A39" s="27" t="s">
        <v>34</v>
      </c>
      <c r="B39" s="49" t="s">
        <v>51</v>
      </c>
      <c r="C39" s="55"/>
      <c r="D39" s="50"/>
      <c r="E39" s="112"/>
      <c r="F39" s="51"/>
      <c r="G39" s="62"/>
      <c r="H39" s="16"/>
      <c r="I39" s="16" t="str">
        <f t="shared" ca="1" si="6"/>
        <v/>
      </c>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row>
    <row r="40" spans="1:65" s="3" customFormat="1" ht="30" customHeight="1" thickBot="1">
      <c r="A40" s="27"/>
      <c r="B40" s="113" t="s">
        <v>52</v>
      </c>
      <c r="C40" s="114"/>
      <c r="D40" s="52">
        <v>0</v>
      </c>
      <c r="E40" s="115">
        <v>45867</v>
      </c>
      <c r="F40" s="115">
        <v>45867</v>
      </c>
      <c r="G40" s="116">
        <f>NETWORKDAYS(E40,F40)</f>
        <v>1</v>
      </c>
      <c r="H40" s="16"/>
      <c r="I40" s="16">
        <f t="shared" ca="1" si="6"/>
        <v>1</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row>
    <row r="41" spans="1:65" s="3" customFormat="1" ht="33.950000000000003" customHeight="1" thickBot="1">
      <c r="A41" s="27"/>
      <c r="B41" s="117" t="s">
        <v>53</v>
      </c>
      <c r="C41" s="118"/>
      <c r="D41" s="118"/>
      <c r="E41" s="118"/>
      <c r="F41" s="118"/>
      <c r="G41" s="118"/>
      <c r="H41" s="16"/>
      <c r="I41" s="16"/>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row>
    <row r="42" spans="1:65" s="3" customFormat="1" ht="30" customHeight="1" thickBot="1">
      <c r="A42" s="27"/>
      <c r="B42" s="113" t="s">
        <v>54</v>
      </c>
      <c r="C42" s="114"/>
      <c r="D42" s="52">
        <v>0</v>
      </c>
      <c r="E42" s="115">
        <v>45868</v>
      </c>
      <c r="F42" s="115">
        <v>45868</v>
      </c>
      <c r="G42" s="116">
        <f t="shared" ref="G42" si="14">NETWORKDAYS(E42,F42)</f>
        <v>1</v>
      </c>
      <c r="H42" s="16"/>
      <c r="I42" s="16"/>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row>
    <row r="43" spans="1:65" s="3" customFormat="1" ht="51.75" customHeight="1" thickBot="1">
      <c r="A43" s="27"/>
      <c r="B43" s="117" t="s">
        <v>55</v>
      </c>
      <c r="C43" s="118"/>
      <c r="D43" s="118"/>
      <c r="E43" s="118"/>
      <c r="F43" s="118"/>
      <c r="G43" s="118"/>
      <c r="H43" s="16"/>
      <c r="I43" s="16"/>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row>
    <row r="44" spans="1:65" s="3" customFormat="1" ht="30" customHeight="1" thickBot="1">
      <c r="A44" s="27"/>
      <c r="B44" s="113" t="s">
        <v>56</v>
      </c>
      <c r="C44" s="114"/>
      <c r="D44" s="52">
        <v>0</v>
      </c>
      <c r="E44" s="115">
        <v>45870</v>
      </c>
      <c r="F44" s="115">
        <v>45870</v>
      </c>
      <c r="G44" s="116">
        <f t="shared" ref="G44" si="15">NETWORKDAYS(E44,F44)</f>
        <v>1</v>
      </c>
      <c r="H44" s="16"/>
      <c r="I44" s="16"/>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row>
    <row r="45" spans="1:65" s="3" customFormat="1" ht="30.95" customHeight="1" thickBot="1">
      <c r="A45" s="27"/>
      <c r="B45" s="117" t="s">
        <v>57</v>
      </c>
      <c r="C45" s="118"/>
      <c r="D45" s="118"/>
      <c r="E45" s="118"/>
      <c r="F45" s="118"/>
      <c r="G45" s="118"/>
      <c r="H45" s="16"/>
      <c r="I45" s="16"/>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row>
    <row r="46" spans="1:65" s="80" customFormat="1" ht="30" customHeight="1" thickBot="1">
      <c r="A46" s="73"/>
      <c r="B46" s="68" t="s">
        <v>58</v>
      </c>
      <c r="C46" s="74"/>
      <c r="D46" s="75">
        <v>0</v>
      </c>
      <c r="E46" s="76">
        <v>45874</v>
      </c>
      <c r="F46" s="76">
        <v>45874</v>
      </c>
      <c r="G46" s="77">
        <f t="shared" ref="G46" si="16">NETWORKDAYS(E46,F46)</f>
        <v>1</v>
      </c>
      <c r="H46" s="78"/>
      <c r="I46" s="78">
        <f t="shared" ca="1" si="6"/>
        <v>1</v>
      </c>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row>
    <row r="47" spans="1:65" s="3" customFormat="1" ht="30" customHeight="1" thickBot="1">
      <c r="A47" s="27" t="s">
        <v>59</v>
      </c>
      <c r="B47" s="34"/>
      <c r="C47" s="33"/>
      <c r="D47" s="15"/>
      <c r="E47" s="32"/>
      <c r="F47" s="32"/>
      <c r="G47" s="63"/>
      <c r="H47" s="16"/>
      <c r="I47" s="16" t="str">
        <f t="shared" ca="1" si="6"/>
        <v/>
      </c>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row>
    <row r="48" spans="1:65" s="3" customFormat="1" ht="30" customHeight="1" thickBot="1">
      <c r="A48" s="28" t="s">
        <v>60</v>
      </c>
      <c r="B48" s="17" t="s">
        <v>61</v>
      </c>
      <c r="C48" s="18"/>
      <c r="D48" s="19"/>
      <c r="E48" s="20"/>
      <c r="F48" s="21"/>
      <c r="G48" s="64"/>
      <c r="H48" s="22"/>
      <c r="I48" s="22" t="str">
        <f t="shared" ca="1" si="6"/>
        <v/>
      </c>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row>
    <row r="49" spans="3:8" ht="30" customHeight="1">
      <c r="H49" s="6"/>
    </row>
    <row r="50" spans="3:8" ht="30" customHeight="1">
      <c r="C50" s="13"/>
      <c r="F50" s="29"/>
      <c r="G50" s="66"/>
    </row>
    <row r="51" spans="3:8" ht="30" customHeight="1">
      <c r="C51" s="14"/>
    </row>
  </sheetData>
  <mergeCells count="15">
    <mergeCell ref="AL4:AR4"/>
    <mergeCell ref="AS4:AY4"/>
    <mergeCell ref="AZ4:BF4"/>
    <mergeCell ref="BG4:BM4"/>
    <mergeCell ref="E3:F3"/>
    <mergeCell ref="J4:P4"/>
    <mergeCell ref="Q4:W4"/>
    <mergeCell ref="X4:AD4"/>
    <mergeCell ref="AE4:AK4"/>
    <mergeCell ref="B41:G41"/>
    <mergeCell ref="B43:G43"/>
    <mergeCell ref="B45:G45"/>
    <mergeCell ref="C3:D3"/>
    <mergeCell ref="C4:D4"/>
    <mergeCell ref="B30:C30"/>
  </mergeCells>
  <conditionalFormatting sqref="D46:D48 D42 D44 D7:D40">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J5:BM48">
    <cfRule type="expression" dxfId="2" priority="33">
      <formula>AND(TODAY()&gt;=J$5,TODAY()&lt;K$5)</formula>
    </cfRule>
  </conditionalFormatting>
  <conditionalFormatting sqref="J7:BM48">
    <cfRule type="expression" dxfId="1" priority="27">
      <formula>AND(task_start&lt;=J$5,ROUNDDOWN((task_end-task_start+1)*task_progress,0)+task_start-1&gt;=J$5)</formula>
    </cfRule>
    <cfRule type="expression" dxfId="0" priority="28" stopIfTrue="1">
      <formula>AND(task_end&gt;=J$5,task_start&lt;K$5)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D46:D48 D42 D44 D7:D40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5F6638245D5F489C492A8A4CAD5181" ma:contentTypeVersion="25" ma:contentTypeDescription="Create a new document." ma:contentTypeScope="" ma:versionID="736407436f70d0447fb7b71a4f7f3bde">
  <xsd:schema xmlns:xsd="http://www.w3.org/2001/XMLSchema" xmlns:xs="http://www.w3.org/2001/XMLSchema" xmlns:p="http://schemas.microsoft.com/office/2006/metadata/properties" xmlns:ns2="7963abd7-b1fd-4e31-9721-c6fee94b0cb0" xmlns:ns3="8a398bdf-8e41-4a71-9177-f5160f512c04" targetNamespace="http://schemas.microsoft.com/office/2006/metadata/properties" ma:root="true" ma:fieldsID="5761057f95071114197a3ca175f84f21" ns2:_="" ns3:_="">
    <xsd:import namespace="7963abd7-b1fd-4e31-9721-c6fee94b0cb0"/>
    <xsd:import namespace="8a398bdf-8e41-4a71-9177-f5160f512c0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Location" minOccurs="0"/>
                <xsd:element ref="ns2:MediaServiceOCR" minOccurs="0"/>
                <xsd:element ref="ns2:MediaLengthInSeconds" minOccurs="0"/>
                <xsd:element ref="ns2:lcf76f155ced4ddcb4097134ff3c332f" minOccurs="0"/>
                <xsd:element ref="ns3:TaxCatchAll"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63abd7-b1fd-4e31-9721-c6fee94b0cb0"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DateTaken" ma:index="7" nillable="true" ma:displayName="MediaServiceDateTaken" ma:description="" ma:hidden="true" ma:internalName="MediaServiceDateTaken" ma:readOnly="true">
      <xsd:simpleType>
        <xsd:restriction base="dms:Text"/>
      </xsd:simpleType>
    </xsd:element>
    <xsd:element name="MediaServiceGenerationTime" ma:index="8" nillable="true" ma:displayName="MediaServiceGenerationTime" ma:hidden="true" ma:internalName="MediaServiceGenerationTime" ma:readOnly="true">
      <xsd:simpleType>
        <xsd:restriction base="dms:Text"/>
      </xsd:simpleType>
    </xsd:element>
    <xsd:element name="MediaServiceEventHashCode" ma:index="9" nillable="true" ma:displayName="MediaServiceEventHashCode" ma:hidden="true" ma:internalName="MediaServiceEventHashCode" ma:readOnly="true">
      <xsd:simpleType>
        <xsd:restriction base="dms:Text"/>
      </xsd:simpleType>
    </xsd:element>
    <xsd:element name="MediaServiceLocation" ma:index="10" nillable="true" ma:displayName="Location" ma:description="" ma:internalName="MediaServiceLocatio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LengthInSeconds" ma:index="12" nillable="true" ma:displayName="MediaLengthInSeconds" ma:description=""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ead9ae7-51a7-4a42-a9b2-43e76f4f824d" ma:termSetId="09814cd3-568e-fe90-9814-8d621ff8fb84" ma:anchorId="fba54fb3-c3e1-fe81-a776-ca4b69148c4d" ma:open="true" ma:isKeyword="false">
      <xsd:complexType>
        <xsd:sequence>
          <xsd:element ref="pc:Terms" minOccurs="0" maxOccurs="1"/>
        </xsd:sequence>
      </xsd:complex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398bdf-8e41-4a71-9177-f5160f512c0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ac6e8c-499b-4941-8a05-e4a91feeb03d}" ma:internalName="TaxCatchAll" ma:showField="CatchAllData" ma:web="8a398bdf-8e41-4a71-9177-f5160f512c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a398bdf-8e41-4a71-9177-f5160f512c04" xsi:nil="true"/>
    <lcf76f155ced4ddcb4097134ff3c332f xmlns="7963abd7-b1fd-4e31-9721-c6fee94b0cb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C11C97-BB5E-4117-8B7B-FE06ADE63105}"/>
</file>

<file path=customXml/itemProps2.xml><?xml version="1.0" encoding="utf-8"?>
<ds:datastoreItem xmlns:ds="http://schemas.openxmlformats.org/officeDocument/2006/customXml" ds:itemID="{6710F012-5194-4FA5-B25C-7AB27DDD931A}"/>
</file>

<file path=customXml/itemProps3.xml><?xml version="1.0" encoding="utf-8"?>
<ds:datastoreItem xmlns:ds="http://schemas.openxmlformats.org/officeDocument/2006/customXml" ds:itemID="{91C8627D-42C6-498C-A9A4-9D14A44E3584}"/>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Williams, Lesley (NBCUniversal)</cp:lastModifiedBy>
  <cp:revision/>
  <dcterms:created xsi:type="dcterms:W3CDTF">2022-03-11T22:40:12Z</dcterms:created>
  <dcterms:modified xsi:type="dcterms:W3CDTF">2025-09-16T11:30:01Z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0x0101009F5F6638245D5F489C492A8A4CAD5181</vt:lpwstr>
  </property>
  <property fmtid="{D5CDD505-2E9C-101B-9397-08002B2CF9AE}" pid="3" name="MediaServiceImageTags">
    <vt:lpwstr/>
  </property>
  <property fmtid="{D5CDD505-2E9C-101B-9397-08002B2CF9AE}" pid="4" name="Order">
    <vt:r8>661400</vt:r8>
  </property>
  <property fmtid="{D5CDD505-2E9C-101B-9397-08002B2CF9AE}" pid="5" name="_ExtendedDescription">
    <vt:lpwstr/>
  </property>
</Properties>
</file>