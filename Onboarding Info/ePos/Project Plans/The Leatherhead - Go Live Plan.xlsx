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19"/>
  <workbookPr filterPrivacy="1" codeName="ThisWorkbook"/>
  <xr:revisionPtr revIDLastSave="388" documentId="8_{275F1920-3F70-C141-9F52-D274B927E5CF}" xr6:coauthVersionLast="47" xr6:coauthVersionMax="47" xr10:uidLastSave="{BEC96C26-B2EC-43C6-A0D7-B9EF0638B186}"/>
  <bookViews>
    <workbookView xWindow="0" yWindow="500" windowWidth="38400" windowHeight="19400" xr2:uid="{00000000-000D-0000-FFFF-FFFF00000000}"/>
  </bookViews>
  <sheets>
    <sheet name="ProjectSchedule" sheetId="11" r:id="rId1"/>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0" i="11" l="1"/>
  <c r="G24" i="11"/>
  <c r="G23" i="11"/>
  <c r="G15" i="11"/>
  <c r="G13" i="11"/>
  <c r="G38" i="11"/>
  <c r="G21" i="11"/>
  <c r="G20" i="11"/>
  <c r="I48" i="11"/>
  <c r="G48" i="11"/>
  <c r="G46" i="11"/>
  <c r="G45" i="11"/>
  <c r="G43" i="11"/>
  <c r="G42" i="11"/>
  <c r="G27" i="11"/>
  <c r="G28" i="11"/>
  <c r="G29" i="11"/>
  <c r="G30" i="11"/>
  <c r="G31" i="11"/>
  <c r="G32" i="11"/>
  <c r="G33" i="11"/>
  <c r="G34" i="11"/>
  <c r="G35" i="11"/>
  <c r="G36" i="11"/>
  <c r="G37" i="11"/>
  <c r="G26" i="11"/>
  <c r="I35" i="11"/>
  <c r="G18" i="11"/>
  <c r="G17" i="11"/>
  <c r="G11" i="11"/>
  <c r="G12" i="11"/>
  <c r="G9" i="11"/>
  <c r="I34" i="11"/>
  <c r="I33" i="11"/>
  <c r="I49" i="11"/>
  <c r="I50" i="11"/>
  <c r="I7" i="11"/>
  <c r="J5" i="11" l="1"/>
  <c r="I45" i="11"/>
  <c r="I39" i="11"/>
  <c r="I26" i="11"/>
  <c r="I25" i="11"/>
  <c r="I16" i="11"/>
  <c r="J6" i="11" l="1"/>
  <c r="I40" i="11" l="1"/>
  <c r="I17" i="11"/>
  <c r="K5" i="11"/>
  <c r="L5" i="11" s="1"/>
  <c r="M5" i="11" s="1"/>
  <c r="N5" i="11" s="1"/>
  <c r="O5" i="11" s="1"/>
  <c r="P5" i="11" s="1"/>
  <c r="Q5" i="11" s="1"/>
  <c r="J4" i="11"/>
  <c r="I18" i="11" l="1"/>
  <c r="Q4" i="11"/>
  <c r="R5" i="11"/>
  <c r="S5" i="11" s="1"/>
  <c r="T5" i="11" s="1"/>
  <c r="U5" i="11" s="1"/>
  <c r="V5" i="11" s="1"/>
  <c r="W5" i="11" s="1"/>
  <c r="X5" i="11" s="1"/>
  <c r="K6" i="11"/>
  <c r="X4" i="11" l="1"/>
  <c r="Y5" i="11"/>
  <c r="Z5" i="11" s="1"/>
  <c r="AA5" i="11" s="1"/>
  <c r="AB5" i="11" s="1"/>
  <c r="AC5" i="11" s="1"/>
  <c r="AD5" i="11" s="1"/>
  <c r="AE5" i="11" s="1"/>
  <c r="L6" i="11"/>
  <c r="AF5" i="11" l="1"/>
  <c r="AG5" i="11" s="1"/>
  <c r="AH5" i="11" s="1"/>
  <c r="AI5" i="11" s="1"/>
  <c r="AJ5" i="11" s="1"/>
  <c r="AK5" i="11" s="1"/>
  <c r="AE4" i="11"/>
  <c r="M6" i="11"/>
  <c r="AL5" i="11" l="1"/>
  <c r="AM5" i="11" s="1"/>
  <c r="AN5" i="11" s="1"/>
  <c r="AO5" i="11" s="1"/>
  <c r="AP5" i="11" s="1"/>
  <c r="AQ5" i="11" s="1"/>
  <c r="AR5" i="11" s="1"/>
  <c r="N6" i="11"/>
  <c r="AS5" i="11" l="1"/>
  <c r="AT5" i="11" s="1"/>
  <c r="AL4" i="11"/>
  <c r="O6" i="11"/>
  <c r="AU5" i="11" l="1"/>
  <c r="AT6" i="11"/>
  <c r="AS4" i="11"/>
  <c r="P6" i="11"/>
  <c r="AV5" i="11" l="1"/>
  <c r="AU6" i="11"/>
  <c r="AW5" i="11" l="1"/>
  <c r="AV6" i="11"/>
  <c r="Q6" i="11"/>
  <c r="R6" i="11"/>
  <c r="AX5" i="11" l="1"/>
  <c r="AW6" i="11"/>
  <c r="S6" i="11"/>
  <c r="AY5" i="11" l="1"/>
  <c r="AZ5" i="11" s="1"/>
  <c r="AX6" i="11"/>
  <c r="T6" i="11"/>
  <c r="AZ6" i="11" l="1"/>
  <c r="BA5" i="11"/>
  <c r="AZ4" i="11"/>
  <c r="AY6" i="11"/>
  <c r="U6" i="11"/>
  <c r="BB5" i="11" l="1"/>
  <c r="BA6" i="11"/>
  <c r="V6" i="11"/>
  <c r="BB6" i="11" l="1"/>
  <c r="BC5" i="11"/>
  <c r="W6" i="11"/>
  <c r="BC6" i="11" l="1"/>
  <c r="BD5" i="11"/>
  <c r="X6" i="11"/>
  <c r="BD6" i="11" l="1"/>
  <c r="BE5" i="11"/>
  <c r="Y6" i="11"/>
  <c r="BF5" i="11" l="1"/>
  <c r="BE6" i="11"/>
  <c r="Z6" i="11"/>
  <c r="BF6" i="11" l="1"/>
  <c r="BG5" i="11"/>
  <c r="AA6" i="11"/>
  <c r="BG6" i="11" l="1"/>
  <c r="BH5" i="11"/>
  <c r="BG4" i="11"/>
  <c r="AB6" i="11"/>
  <c r="BH6" i="11" l="1"/>
  <c r="BI5" i="11"/>
  <c r="AC6" i="11"/>
  <c r="BJ5" i="11" l="1"/>
  <c r="BI6" i="11"/>
  <c r="AD6" i="11"/>
  <c r="BK5" i="11" l="1"/>
  <c r="BJ6" i="11"/>
  <c r="AE6" i="11"/>
  <c r="BL5" i="11" l="1"/>
  <c r="BK6" i="11"/>
  <c r="AF6" i="11"/>
  <c r="BM5" i="11" l="1"/>
  <c r="BL6" i="11"/>
  <c r="AG6" i="11"/>
  <c r="BM6" i="11" l="1"/>
  <c r="AH6" i="11"/>
  <c r="AI6" i="11" l="1"/>
  <c r="AJ6" i="11" l="1"/>
  <c r="AK6" i="11" l="1"/>
  <c r="AL6" i="11" l="1"/>
  <c r="AM6" i="11" l="1"/>
  <c r="AN6" i="11" l="1"/>
  <c r="AO6" i="11" l="1"/>
  <c r="AP6" i="11" l="1"/>
  <c r="AQ6" i="11" l="1"/>
  <c r="AR6" i="11" l="1"/>
  <c r="AS6" i="11" l="1"/>
</calcChain>
</file>

<file path=xl/sharedStrings.xml><?xml version="1.0" encoding="utf-8"?>
<sst xmlns="http://schemas.openxmlformats.org/spreadsheetml/2006/main" count="95" uniqueCount="72">
  <si>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</si>
  <si>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r>
      <t>The</t>
    </r>
    <r>
      <rPr>
        <b/>
        <i/>
        <sz val="22"/>
        <color theme="1" tint="0.34998626667073579"/>
        <rFont val="Calibri"/>
        <family val="2"/>
        <scheme val="major"/>
      </rPr>
      <t xml:space="preserve"> </t>
    </r>
    <r>
      <rPr>
        <b/>
        <sz val="22"/>
        <color theme="1" tint="0.34998626667073579"/>
        <rFont val="Calibri"/>
        <family val="2"/>
        <scheme val="major"/>
      </rPr>
      <t>Leatherhead - DRAFT Go Live Plan</t>
    </r>
  </si>
  <si>
    <t>Enter Company Name in cell B2.</t>
  </si>
  <si>
    <t>Enter the name of the Project Lead in cell B3. Enter the Project Start date in cell E3. Project Start: label is in cell C3.</t>
  </si>
  <si>
    <t>Steph Rennie - Teesheet &amp; Payments
Lesley Williams/Martin Fitzpatrick - ePos</t>
  </si>
  <si>
    <t>Project Start:</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</si>
  <si>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</si>
  <si>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Display Week:</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</si>
  <si>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</si>
  <si>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</si>
  <si>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TASK</t>
  </si>
  <si>
    <t>ASSIGNED
TO</t>
  </si>
  <si>
    <t>PROGRESS</t>
  </si>
  <si>
    <t>START</t>
  </si>
  <si>
    <t>END</t>
  </si>
  <si>
    <t>WORK DAYS</t>
  </si>
  <si>
    <t>DAYS</t>
  </si>
  <si>
    <t xml:space="preserve">Do not delete this row. This row is hidden to preserve a formula that is used to highlight the current day within the project schedule. </t>
  </si>
  <si>
    <t>Tee Sheet</t>
  </si>
  <si>
    <t>Create a new tee sheet system</t>
  </si>
  <si>
    <t>Steph Rennie</t>
  </si>
  <si>
    <t>- Members booking module/app
- Visitor Booking module
- SMS Module</t>
  </si>
  <si>
    <t>Transfer Member Data - Club to provide CSV file</t>
  </si>
  <si>
    <t>Dominic Hill</t>
  </si>
  <si>
    <t>Tee Sheet training - member registration email</t>
  </si>
  <si>
    <t>Transfer tee sheet bookings</t>
  </si>
  <si>
    <t>Steph &amp; Lesley</t>
  </si>
  <si>
    <t>- Park Room
- Perry Room
- Tee sheet</t>
  </si>
  <si>
    <t>Agree cutover to new tee sheet</t>
  </si>
  <si>
    <t>Lesley &amp; Dominic</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</si>
  <si>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</si>
  <si>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BRS Payments</t>
  </si>
  <si>
    <t>Provide director details and relevant documentation</t>
  </si>
  <si>
    <t>Create BRS Payments system</t>
  </si>
  <si>
    <t>BRS Memberships</t>
  </si>
  <si>
    <t>Create BRS Memberships system</t>
  </si>
  <si>
    <t>Lesley Williams</t>
  </si>
  <si>
    <t>Syncing member data between teesheet &amp; memberships</t>
  </si>
  <si>
    <t>Distribution</t>
  </si>
  <si>
    <t>Setup Facility</t>
  </si>
  <si>
    <t>Steph</t>
  </si>
  <si>
    <t>Agree cutover for distribution</t>
  </si>
  <si>
    <t>Steph &amp; Dominic</t>
  </si>
  <si>
    <t>Sample phase title block</t>
  </si>
  <si>
    <t>ePOS System</t>
  </si>
  <si>
    <t>Provide recommended hardware list</t>
  </si>
  <si>
    <t>Purchase and install hardware</t>
  </si>
  <si>
    <t>Provide product data from existing epos system</t>
  </si>
  <si>
    <t>Create ePos system</t>
  </si>
  <si>
    <t>Upload product data</t>
  </si>
  <si>
    <t>Provide member wallet balances</t>
  </si>
  <si>
    <t>Upload member wallet balances</t>
  </si>
  <si>
    <t>ePos Introduction for Pro Shop staff</t>
  </si>
  <si>
    <t>ePos Introduction for Bar/Restaurant staff</t>
  </si>
  <si>
    <t>ePos Introduction for Back office staff</t>
  </si>
  <si>
    <t>iPad Setup</t>
  </si>
  <si>
    <t>Go Live Checkpoint</t>
  </si>
  <si>
    <t>Convert tee sheet to ePos tee sheet</t>
  </si>
  <si>
    <t>Lesley &amp; Martin</t>
  </si>
  <si>
    <t>On-Site ePos Training &amp; Go Live</t>
  </si>
  <si>
    <t>ePos Training for Pro Shop Staff</t>
  </si>
  <si>
    <r>
      <t xml:space="preserve">- </t>
    </r>
    <r>
      <rPr>
        <b/>
        <sz val="12"/>
        <color theme="1"/>
        <rFont val="Calibri"/>
        <family val="2"/>
        <scheme val="minor"/>
      </rPr>
      <t xml:space="preserve">Training includes : </t>
    </r>
    <r>
      <rPr>
        <sz val="12"/>
        <color theme="1"/>
        <rFont val="Calibri"/>
        <family val="2"/>
        <scheme val="minor"/>
      </rPr>
      <t>Tee sheet differences, Paying for a tee time, Adding items to the order, Adding a customer to the order, Taking payment, Saving an order for later, Applying discounts, Member wallet top up, Refund order, End of Day Cash Close</t>
    </r>
  </si>
  <si>
    <t>ePos go live for Pro Shop Staff</t>
  </si>
  <si>
    <t>ePos Training for Bar/Restaurant Staff</t>
  </si>
  <si>
    <r>
      <t xml:space="preserve">- </t>
    </r>
    <r>
      <rPr>
        <b/>
        <sz val="12"/>
        <color theme="1"/>
        <rFont val="Calibri"/>
        <family val="2"/>
        <scheme val="minor"/>
      </rPr>
      <t xml:space="preserve">Training includes : </t>
    </r>
    <r>
      <rPr>
        <sz val="12"/>
        <color theme="1"/>
        <rFont val="Calibri"/>
        <family val="2"/>
        <scheme val="minor"/>
      </rPr>
      <t>Paying for a tee time, Creating an Order, Adding a customer to the order, Taking payment, Food Modifiers/Notes, Hold an order, Send to Kitchen, Applying discounts, Split/Combine orders, Assign to table, Member wallet top up, Refund order, End of Day Cash Close</t>
    </r>
  </si>
  <si>
    <t>ePos go live for Bar/Restaurant Staff</t>
  </si>
  <si>
    <t>ePos Training for Back Office Staff</t>
  </si>
  <si>
    <r>
      <t xml:space="preserve">- </t>
    </r>
    <r>
      <rPr>
        <b/>
        <sz val="12"/>
        <color theme="1"/>
        <rFont val="Calibri"/>
        <family val="2"/>
        <scheme val="minor"/>
      </rPr>
      <t xml:space="preserve">Training includes : </t>
    </r>
    <r>
      <rPr>
        <sz val="12"/>
        <color theme="1"/>
        <rFont val="Calibri"/>
        <family val="2"/>
        <scheme val="minor"/>
      </rPr>
      <t>Managing Products, Discounts/Specials,</t>
    </r>
  </si>
  <si>
    <t>ePos go live for Back Office Staff</t>
  </si>
  <si>
    <t>This is an empty row</t>
  </si>
  <si>
    <t>This row marks the end of the Project Schedule. DO NOT enter anything in this row. 
Insert new rows ABOVE this one to continue building out your Project Schedule.</t>
  </si>
  <si>
    <t>Insert new rows ABOVE this one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</si>
</sst>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64" formatCode="_(* #,##0.00_);_(* \(#,##0.00\);_(* &quot;-&quot;??_);_(@_)"/>
    <numFmt numFmtId="165" formatCode="m/d/yy;@"/>
    <numFmt numFmtId="166" formatCode="ddd\,\ m/d/yyyy"/>
    <numFmt numFmtId="167" formatCode="mmm\ d\,\ yyyy"/>
    <numFmt numFmtId="168" formatCode="d"/>
    <numFmt numFmtId="169" formatCode="ddd\,\ d/m/yyyy"/>
    <numFmt numFmtId="170" formatCode="d/m/yy;@"/>
  </numFmts>
  <fonts count="26">
    <font>
      <sz val="11"/>
      <color theme="1"/>
      <name val="Calibri"/>
      <family val="2"/>
      <scheme val="minor"/>
    </font>
    <font>
      <sz val="12"/>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b/>
      <sz val="12"/>
      <color theme="0"/>
      <name val="Calibri"/>
      <family val="2"/>
      <scheme val="minor"/>
    </font>
    <font>
      <b/>
      <sz val="12"/>
      <color theme="1"/>
      <name val="Calibri"/>
      <family val="2"/>
      <scheme val="minor"/>
    </font>
    <font>
      <sz val="12"/>
      <name val="Calibri"/>
      <family val="2"/>
      <scheme val="minor"/>
    </font>
    <font>
      <i/>
      <sz val="12"/>
      <color theme="1"/>
      <name val="Calibri"/>
      <family val="2"/>
      <scheme val="minor"/>
    </font>
    <font>
      <b/>
      <i/>
      <sz val="22"/>
      <color theme="1" tint="0.34998626667073579"/>
      <name val="Calibri"/>
      <family val="2"/>
      <scheme val="major"/>
    </font>
    <font>
      <i/>
      <sz val="14"/>
      <color theme="1"/>
      <name val="Calibri"/>
      <family val="2"/>
      <scheme val="minor"/>
    </font>
    <font>
      <b/>
      <sz val="12"/>
      <name val="Calibri"/>
      <family val="2"/>
      <scheme val="minor"/>
    </font>
  </fonts>
  <fills count="18">
    <fill>
      <patternFill patternType="none"/>
    </fill>
    <fill>
      <patternFill patternType="gray125"/>
    </fill>
    <fill>
      <patternFill patternType="solid">
        <fgColor theme="0" tint="-4.9989318521683403E-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rgb="FFFFF2CC"/>
        <bgColor indexed="64"/>
      </patternFill>
    </fill>
    <fill>
      <patternFill patternType="solid">
        <fgColor rgb="FFFFE699"/>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4"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4"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6" fontId="9" fillId="0" borderId="3">
      <alignment horizontal="center" vertical="center"/>
    </xf>
    <xf numFmtId="165"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27">
    <xf numFmtId="0" fontId="0" fillId="0" borderId="0" xfId="0"/>
    <xf numFmtId="0" fontId="2" fillId="0" borderId="0" xfId="0" applyFont="1" applyAlignment="1">
      <alignment horizontal="left"/>
    </xf>
    <xf numFmtId="0" fontId="3" fillId="0" borderId="0" xfId="0" applyFont="1"/>
    <xf numFmtId="0" fontId="0" fillId="0" borderId="0" xfId="0" applyAlignment="1">
      <alignment vertical="center"/>
    </xf>
    <xf numFmtId="0" fontId="3"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1" borderId="1" xfId="0" applyFont="1" applyFill="1" applyBorder="1" applyAlignment="1">
      <alignment horizontal="center" vertical="center" wrapText="1"/>
    </xf>
    <xf numFmtId="168" fontId="11" fillId="6" borderId="0" xfId="0" applyNumberFormat="1" applyFont="1" applyFill="1" applyAlignment="1">
      <alignment horizontal="center" vertical="center"/>
    </xf>
    <xf numFmtId="168" fontId="11" fillId="6" borderId="6" xfId="0" applyNumberFormat="1" applyFont="1" applyFill="1" applyBorder="1" applyAlignment="1">
      <alignment horizontal="center" vertical="center"/>
    </xf>
    <xf numFmtId="168" fontId="11" fillId="6" borderId="7" xfId="0" applyNumberFormat="1" applyFont="1" applyFill="1" applyBorder="1" applyAlignment="1">
      <alignment horizontal="center" vertical="center"/>
    </xf>
    <xf numFmtId="0" fontId="12" fillId="10"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6" fillId="0" borderId="2" xfId="2" applyFont="1" applyBorder="1" applyAlignment="1">
      <alignment horizontal="center" vertical="center"/>
    </xf>
    <xf numFmtId="0" fontId="6" fillId="0" borderId="2" xfId="0" applyFont="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6" fillId="2" borderId="2" xfId="2" applyFont="1" applyFill="1" applyBorder="1" applyAlignment="1">
      <alignment horizontal="center" vertical="center"/>
    </xf>
    <xf numFmtId="165" fontId="5" fillId="2" borderId="2" xfId="0" applyNumberFormat="1" applyFont="1" applyFill="1" applyBorder="1" applyAlignment="1">
      <alignment horizontal="left" vertical="center"/>
    </xf>
    <xf numFmtId="165" fontId="6" fillId="2" borderId="2" xfId="0" applyNumberFormat="1" applyFont="1" applyFill="1" applyBorder="1" applyAlignment="1">
      <alignment horizontal="center" vertical="center"/>
    </xf>
    <xf numFmtId="0" fontId="6"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3"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13" fillId="0" borderId="0" xfId="5" applyAlignment="1">
      <alignment horizontal="left"/>
    </xf>
    <xf numFmtId="0" fontId="10" fillId="0" borderId="0" xfId="6"/>
    <xf numFmtId="165" fontId="9" fillId="0" borderId="2" xfId="10">
      <alignment horizontal="center" vertical="center"/>
    </xf>
    <xf numFmtId="0" fontId="9" fillId="0" borderId="2" xfId="11">
      <alignment horizontal="center" vertical="center"/>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9" fontId="9" fillId="0" borderId="3" xfId="9" applyNumberFormat="1">
      <alignment horizontal="center" vertical="center"/>
    </xf>
    <xf numFmtId="0" fontId="19" fillId="11" borderId="1" xfId="0" applyFont="1" applyFill="1" applyBorder="1" applyAlignment="1">
      <alignment horizontal="left" vertical="center" indent="1"/>
    </xf>
    <xf numFmtId="0" fontId="19" fillId="11" borderId="1" xfId="0" applyFont="1" applyFill="1" applyBorder="1" applyAlignment="1">
      <alignment horizontal="center" vertical="center" wrapText="1"/>
    </xf>
    <xf numFmtId="0" fontId="20" fillId="7" borderId="2" xfId="0" applyFont="1" applyFill="1" applyBorder="1" applyAlignment="1">
      <alignment horizontal="left" vertical="center" wrapText="1" indent="1"/>
    </xf>
    <xf numFmtId="9" fontId="21" fillId="7" borderId="2" xfId="2" applyFont="1" applyFill="1" applyBorder="1" applyAlignment="1">
      <alignment horizontal="center" vertical="center"/>
    </xf>
    <xf numFmtId="170" fontId="21" fillId="7" borderId="2" xfId="0" applyNumberFormat="1" applyFont="1" applyFill="1" applyBorder="1" applyAlignment="1">
      <alignment horizontal="center" vertical="center"/>
    </xf>
    <xf numFmtId="9" fontId="21" fillId="3" borderId="2" xfId="2" applyFont="1" applyFill="1" applyBorder="1" applyAlignment="1">
      <alignment horizontal="center" vertical="center"/>
    </xf>
    <xf numFmtId="0" fontId="20" fillId="5" borderId="2" xfId="0" applyFont="1" applyFill="1" applyBorder="1" applyAlignment="1">
      <alignment horizontal="left" vertical="center" wrapText="1" indent="1"/>
    </xf>
    <xf numFmtId="9" fontId="21" fillId="5" borderId="2" xfId="2" applyFont="1" applyFill="1" applyBorder="1" applyAlignment="1">
      <alignment horizontal="center" vertical="center"/>
    </xf>
    <xf numFmtId="170" fontId="21" fillId="5" borderId="2" xfId="0" applyNumberFormat="1" applyFont="1" applyFill="1" applyBorder="1" applyAlignment="1">
      <alignment horizontal="center" vertical="center"/>
    </xf>
    <xf numFmtId="9" fontId="21" fillId="9" borderId="2" xfId="2" applyFont="1" applyFill="1" applyBorder="1" applyAlignment="1">
      <alignment horizontal="center" vertical="center"/>
    </xf>
    <xf numFmtId="9" fontId="21" fillId="4" borderId="2" xfId="2" applyFont="1" applyFill="1" applyBorder="1" applyAlignment="1">
      <alignment horizontal="center" vertical="center"/>
    </xf>
    <xf numFmtId="9" fontId="21" fillId="8" borderId="2" xfId="2" applyFont="1" applyFill="1" applyBorder="1" applyAlignment="1">
      <alignment horizontal="center" vertical="center"/>
    </xf>
    <xf numFmtId="0" fontId="20" fillId="13" borderId="2" xfId="0" applyFont="1" applyFill="1" applyBorder="1" applyAlignment="1">
      <alignment horizontal="left" vertical="center" wrapText="1" indent="1"/>
    </xf>
    <xf numFmtId="9" fontId="21" fillId="13" borderId="2" xfId="2" applyFont="1" applyFill="1" applyBorder="1" applyAlignment="1">
      <alignment horizontal="center" vertical="center"/>
    </xf>
    <xf numFmtId="170" fontId="21" fillId="13" borderId="2" xfId="0" applyNumberFormat="1" applyFont="1" applyFill="1" applyBorder="1" applyAlignment="1">
      <alignment horizontal="center" vertical="center"/>
    </xf>
    <xf numFmtId="9" fontId="21" fillId="12" borderId="2" xfId="2" applyFont="1" applyFill="1" applyBorder="1" applyAlignment="1">
      <alignment horizontal="center" vertical="center"/>
    </xf>
    <xf numFmtId="0" fontId="22" fillId="7" borderId="2" xfId="11" applyFont="1" applyFill="1">
      <alignment horizontal="center" vertical="center"/>
    </xf>
    <xf numFmtId="0" fontId="22" fillId="5" borderId="2" xfId="11" applyFont="1" applyFill="1">
      <alignment horizontal="center" vertical="center"/>
    </xf>
    <xf numFmtId="0" fontId="22" fillId="13" borderId="2" xfId="11" applyFont="1" applyFill="1">
      <alignment horizontal="center" vertical="center"/>
    </xf>
    <xf numFmtId="0" fontId="20" fillId="4" borderId="2" xfId="0" applyFont="1" applyFill="1" applyBorder="1" applyAlignment="1">
      <alignment horizontal="left" vertical="center" indent="1"/>
    </xf>
    <xf numFmtId="165" fontId="21" fillId="4" borderId="2" xfId="0" applyNumberFormat="1" applyFont="1" applyFill="1" applyBorder="1" applyAlignment="1">
      <alignment horizontal="center" vertical="center"/>
    </xf>
    <xf numFmtId="0" fontId="20" fillId="9" borderId="2" xfId="12" applyFont="1" applyFill="1" applyAlignment="1">
      <alignment horizontal="left" vertical="center" wrapText="1" indent="2"/>
    </xf>
    <xf numFmtId="0" fontId="20" fillId="9" borderId="2" xfId="11" applyFont="1" applyFill="1">
      <alignment horizontal="center" vertical="center"/>
    </xf>
    <xf numFmtId="9" fontId="25" fillId="9" borderId="2" xfId="2" applyFont="1" applyFill="1" applyBorder="1" applyAlignment="1">
      <alignment horizontal="center" vertical="center"/>
    </xf>
    <xf numFmtId="170" fontId="20" fillId="9" borderId="2" xfId="10" applyNumberFormat="1" applyFont="1" applyFill="1">
      <alignment horizontal="center" vertical="center"/>
    </xf>
    <xf numFmtId="165" fontId="21" fillId="4" borderId="0" xfId="0" applyNumberFormat="1" applyFont="1" applyFill="1" applyAlignment="1">
      <alignment horizontal="center" vertical="center"/>
    </xf>
    <xf numFmtId="1" fontId="21" fillId="7" borderId="2" xfId="0" applyNumberFormat="1" applyFont="1" applyFill="1" applyBorder="1" applyAlignment="1">
      <alignment horizontal="center" vertical="center"/>
    </xf>
    <xf numFmtId="1" fontId="21" fillId="5" borderId="2" xfId="0" applyNumberFormat="1" applyFont="1" applyFill="1" applyBorder="1" applyAlignment="1">
      <alignment horizontal="center" vertical="center"/>
    </xf>
    <xf numFmtId="1" fontId="21" fillId="13" borderId="2" xfId="0" applyNumberFormat="1" applyFont="1" applyFill="1" applyBorder="1" applyAlignment="1">
      <alignment horizontal="center" vertical="center"/>
    </xf>
    <xf numFmtId="1" fontId="9" fillId="0" borderId="2" xfId="10" applyNumberFormat="1">
      <alignment horizontal="center" vertical="center"/>
    </xf>
    <xf numFmtId="1" fontId="6" fillId="2" borderId="2" xfId="0" applyNumberFormat="1" applyFont="1" applyFill="1" applyBorder="1" applyAlignment="1">
      <alignment horizontal="center" vertical="center"/>
    </xf>
    <xf numFmtId="1" fontId="0" fillId="0" borderId="0" xfId="0" applyNumberFormat="1"/>
    <xf numFmtId="1" fontId="16" fillId="0" borderId="0" xfId="0" applyNumberFormat="1" applyFont="1" applyAlignment="1">
      <alignment horizontal="center"/>
    </xf>
    <xf numFmtId="0" fontId="24" fillId="0" borderId="0" xfId="7" applyFont="1" applyAlignment="1">
      <alignment vertical="top" wrapText="1"/>
    </xf>
    <xf numFmtId="0" fontId="20" fillId="12" borderId="2" xfId="12" applyFont="1" applyFill="1" applyAlignment="1">
      <alignment horizontal="left" vertical="center" wrapText="1" indent="2"/>
    </xf>
    <xf numFmtId="9" fontId="21" fillId="14" borderId="2" xfId="2" applyFont="1" applyFill="1" applyBorder="1" applyAlignment="1">
      <alignment horizontal="center" vertical="center"/>
    </xf>
    <xf numFmtId="9" fontId="21" fillId="15" borderId="2" xfId="2" applyFont="1" applyFill="1" applyBorder="1" applyAlignment="1">
      <alignment horizontal="center" vertical="center"/>
    </xf>
    <xf numFmtId="0" fontId="1" fillId="9" borderId="2" xfId="12" applyFont="1" applyFill="1" applyAlignment="1">
      <alignment horizontal="left" vertical="center" wrapText="1" indent="2"/>
    </xf>
    <xf numFmtId="0" fontId="1" fillId="9" borderId="2" xfId="11" applyFont="1" applyFill="1">
      <alignment horizontal="center" vertical="center"/>
    </xf>
    <xf numFmtId="170" fontId="1" fillId="9" borderId="2" xfId="10" applyNumberFormat="1" applyFont="1" applyFill="1">
      <alignment horizontal="center" vertical="center"/>
    </xf>
    <xf numFmtId="1" fontId="1" fillId="9" borderId="2" xfId="10" applyNumberFormat="1" applyFont="1" applyFill="1">
      <alignment horizontal="center" vertical="center"/>
    </xf>
    <xf numFmtId="1" fontId="20" fillId="9" borderId="2" xfId="10" applyNumberFormat="1" applyFont="1" applyFill="1">
      <alignment horizontal="center" vertical="center"/>
    </xf>
    <xf numFmtId="0" fontId="1" fillId="0" borderId="0" xfId="0" applyFont="1"/>
    <xf numFmtId="0" fontId="1" fillId="0" borderId="0" xfId="0" applyFont="1" applyAlignment="1">
      <alignment wrapText="1"/>
    </xf>
    <xf numFmtId="0" fontId="1" fillId="4" borderId="2" xfId="11" applyFont="1" applyFill="1">
      <alignment horizontal="center" vertical="center"/>
    </xf>
    <xf numFmtId="165" fontId="1" fillId="4" borderId="2" xfId="0" applyNumberFormat="1" applyFont="1" applyFill="1" applyBorder="1" applyAlignment="1">
      <alignment horizontal="center" vertical="center"/>
    </xf>
    <xf numFmtId="0" fontId="1" fillId="8" borderId="2" xfId="12" applyFont="1" applyFill="1" applyAlignment="1">
      <alignment horizontal="left" vertical="center" wrapText="1" indent="2"/>
    </xf>
    <xf numFmtId="0" fontId="1" fillId="8" borderId="2" xfId="11" applyFont="1" applyFill="1">
      <alignment horizontal="center" vertical="center"/>
    </xf>
    <xf numFmtId="170" fontId="1" fillId="8" borderId="2" xfId="10" applyNumberFormat="1" applyFont="1" applyFill="1">
      <alignment horizontal="center" vertical="center"/>
    </xf>
    <xf numFmtId="1" fontId="1" fillId="8" borderId="2" xfId="10" applyNumberFormat="1" applyFont="1" applyFill="1">
      <alignment horizontal="center" vertical="center"/>
    </xf>
    <xf numFmtId="0" fontId="1" fillId="8" borderId="2" xfId="12" quotePrefix="1" applyFont="1" applyFill="1" applyAlignment="1">
      <alignment horizontal="left" vertical="center" wrapText="1" indent="2"/>
    </xf>
    <xf numFmtId="170" fontId="1" fillId="7" borderId="2" xfId="0" applyNumberFormat="1" applyFont="1" applyFill="1" applyBorder="1" applyAlignment="1">
      <alignment horizontal="center" vertical="center"/>
    </xf>
    <xf numFmtId="0" fontId="1" fillId="3" borderId="2" xfId="12" applyFont="1" applyFill="1" applyAlignment="1">
      <alignment horizontal="left" vertical="center" wrapText="1" indent="2"/>
    </xf>
    <xf numFmtId="0" fontId="1" fillId="3" borderId="2" xfId="11" applyFont="1" applyFill="1">
      <alignment horizontal="center" vertical="center"/>
    </xf>
    <xf numFmtId="170" fontId="1" fillId="3" borderId="2" xfId="10" applyNumberFormat="1" applyFont="1" applyFill="1">
      <alignment horizontal="center" vertical="center"/>
    </xf>
    <xf numFmtId="1" fontId="1" fillId="3" borderId="2" xfId="10" applyNumberFormat="1" applyFont="1" applyFill="1">
      <alignment horizontal="center" vertical="center"/>
    </xf>
    <xf numFmtId="0" fontId="1" fillId="14" borderId="2" xfId="12" applyFont="1" applyFill="1" applyAlignment="1">
      <alignment horizontal="left" vertical="center" wrapText="1" indent="2"/>
    </xf>
    <xf numFmtId="0" fontId="1" fillId="14" borderId="2" xfId="11" applyFont="1" applyFill="1">
      <alignment horizontal="center" vertical="center"/>
    </xf>
    <xf numFmtId="170" fontId="1" fillId="14" borderId="2" xfId="10" applyNumberFormat="1" applyFont="1" applyFill="1">
      <alignment horizontal="center" vertical="center"/>
    </xf>
    <xf numFmtId="1" fontId="1" fillId="14" borderId="2" xfId="10" applyNumberFormat="1" applyFont="1" applyFill="1">
      <alignment horizontal="center" vertical="center"/>
    </xf>
    <xf numFmtId="0" fontId="1" fillId="15" borderId="2" xfId="12" applyFont="1" applyFill="1" applyAlignment="1">
      <alignment horizontal="left" vertical="center" wrapText="1" indent="2"/>
    </xf>
    <xf numFmtId="0" fontId="1" fillId="15" borderId="2" xfId="11" applyFont="1" applyFill="1">
      <alignment horizontal="center" vertical="center"/>
    </xf>
    <xf numFmtId="170" fontId="1" fillId="15" borderId="2" xfId="10" applyNumberFormat="1" applyFont="1" applyFill="1">
      <alignment horizontal="center" vertical="center"/>
    </xf>
    <xf numFmtId="1" fontId="1" fillId="15" borderId="2" xfId="10" applyNumberFormat="1" applyFont="1" applyFill="1">
      <alignment horizontal="center" vertical="center"/>
    </xf>
    <xf numFmtId="170" fontId="1" fillId="5" borderId="2" xfId="0" applyNumberFormat="1" applyFont="1" applyFill="1" applyBorder="1" applyAlignment="1">
      <alignment horizontal="center" vertical="center"/>
    </xf>
    <xf numFmtId="170" fontId="1" fillId="13" borderId="2" xfId="0" applyNumberFormat="1" applyFont="1" applyFill="1" applyBorder="1" applyAlignment="1">
      <alignment horizontal="center" vertical="center"/>
    </xf>
    <xf numFmtId="0" fontId="1" fillId="12" borderId="2" xfId="12" applyFont="1" applyFill="1" applyAlignment="1">
      <alignment horizontal="left" vertical="center" wrapText="1" indent="2"/>
    </xf>
    <xf numFmtId="0" fontId="1" fillId="12" borderId="2" xfId="11" applyFont="1" applyFill="1">
      <alignment horizontal="center" vertical="center"/>
    </xf>
    <xf numFmtId="170" fontId="1" fillId="12" borderId="2" xfId="10" applyNumberFormat="1" applyFont="1" applyFill="1">
      <alignment horizontal="center" vertical="center"/>
    </xf>
    <xf numFmtId="1" fontId="1" fillId="12" borderId="2" xfId="10" applyNumberFormat="1" applyFont="1" applyFill="1">
      <alignment horizontal="center" vertical="center"/>
    </xf>
    <xf numFmtId="0" fontId="1" fillId="16" borderId="2" xfId="12" applyFont="1" applyFill="1" applyAlignment="1">
      <alignment horizontal="left" vertical="center" wrapText="1" indent="2"/>
    </xf>
    <xf numFmtId="0" fontId="1" fillId="16" borderId="2" xfId="11" applyFont="1" applyFill="1">
      <alignment horizontal="center" vertical="center"/>
    </xf>
    <xf numFmtId="9" fontId="21" fillId="16" borderId="2" xfId="2" applyFont="1" applyFill="1" applyBorder="1" applyAlignment="1">
      <alignment horizontal="center" vertical="center"/>
    </xf>
    <xf numFmtId="170" fontId="1" fillId="16" borderId="2" xfId="10" applyNumberFormat="1" applyFont="1" applyFill="1">
      <alignment horizontal="center" vertical="center"/>
    </xf>
    <xf numFmtId="1" fontId="1" fillId="16" borderId="2" xfId="10" applyNumberFormat="1" applyFont="1" applyFill="1">
      <alignment horizontal="center" vertical="center"/>
    </xf>
    <xf numFmtId="0" fontId="1" fillId="17" borderId="2" xfId="11" applyFont="1" applyFill="1">
      <alignment horizontal="center" vertical="center"/>
    </xf>
    <xf numFmtId="9" fontId="21" fillId="17" borderId="2" xfId="2" applyFont="1" applyFill="1" applyBorder="1" applyAlignment="1">
      <alignment horizontal="center" vertical="center"/>
    </xf>
    <xf numFmtId="170" fontId="1" fillId="17" borderId="2" xfId="10" applyNumberFormat="1" applyFont="1" applyFill="1">
      <alignment horizontal="center" vertical="center"/>
    </xf>
    <xf numFmtId="1" fontId="1" fillId="17" borderId="2" xfId="10" applyNumberFormat="1" applyFont="1" applyFill="1">
      <alignment horizontal="center" vertical="center"/>
    </xf>
    <xf numFmtId="0" fontId="20" fillId="17" borderId="2" xfId="12" applyFont="1" applyFill="1" applyAlignment="1">
      <alignment horizontal="left" vertical="center" wrapText="1" indent="2"/>
    </xf>
    <xf numFmtId="167" fontId="0" fillId="6" borderId="4" xfId="0" applyNumberFormat="1" applyFill="1" applyBorder="1" applyAlignment="1">
      <alignment horizontal="left" vertical="center" wrapText="1" indent="1"/>
    </xf>
    <xf numFmtId="167" fontId="0" fillId="6" borderId="1" xfId="0" applyNumberFormat="1" applyFill="1" applyBorder="1" applyAlignment="1">
      <alignment horizontal="left" vertical="center" wrapText="1" indent="1"/>
    </xf>
    <xf numFmtId="167" fontId="0" fillId="6" borderId="5" xfId="0" applyNumberFormat="1" applyFill="1" applyBorder="1" applyAlignment="1">
      <alignment horizontal="left" vertical="center" wrapText="1" indent="1"/>
    </xf>
    <xf numFmtId="0" fontId="1" fillId="12" borderId="2" xfId="12" quotePrefix="1" applyFont="1" applyFill="1" applyAlignment="1">
      <alignment horizontal="left" vertical="center" wrapText="1"/>
    </xf>
    <xf numFmtId="0" fontId="0" fillId="0" borderId="2" xfId="0" applyBorder="1" applyAlignment="1">
      <alignment vertical="center"/>
    </xf>
    <xf numFmtId="0" fontId="9" fillId="0" borderId="0" xfId="8" applyAlignment="1">
      <alignment horizontal="right" indent="1"/>
    </xf>
    <xf numFmtId="0" fontId="9" fillId="0" borderId="7" xfId="8" applyBorder="1" applyAlignment="1">
      <alignment horizontal="right" indent="1"/>
    </xf>
    <xf numFmtId="169" fontId="9" fillId="0" borderId="3" xfId="9" applyNumberFormat="1" applyAlignment="1">
      <alignment horizontal="center" vertical="center"/>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M53"/>
  <sheetViews>
    <sheetView showGridLines="0" tabSelected="1" showRuler="0" zoomScaleNormal="100" zoomScalePageLayoutView="70" workbookViewId="0">
      <pane ySplit="6" topLeftCell="A39" activePane="bottomLeft" state="frozen"/>
      <selection pane="bottomLeft" activeCell="D2" sqref="D2"/>
    </sheetView>
  </sheetViews>
  <sheetFormatPr defaultColWidth="8.85546875" defaultRowHeight="30" customHeight="1"/>
  <cols>
    <col min="1" max="1" width="2.7109375" style="27" customWidth="1"/>
    <col min="2" max="2" width="48.140625" customWidth="1"/>
    <col min="3" max="3" width="30.7109375" customWidth="1"/>
    <col min="4" max="4" width="10.7109375" customWidth="1"/>
    <col min="5" max="5" width="10.42578125" style="5" customWidth="1"/>
    <col min="6" max="6" width="10.42578125" customWidth="1"/>
    <col min="7" max="7" width="10.42578125" style="70" customWidth="1"/>
    <col min="8" max="8" width="2.7109375" customWidth="1"/>
    <col min="9" max="9" width="6.140625" hidden="1" customWidth="1"/>
    <col min="10" max="65" width="2.42578125" customWidth="1"/>
    <col min="70" max="71" width="10.28515625"/>
  </cols>
  <sheetData>
    <row r="1" spans="1:65" ht="30" customHeight="1">
      <c r="A1" s="28" t="s">
        <v>0</v>
      </c>
      <c r="B1" s="30" t="s">
        <v>1</v>
      </c>
      <c r="C1" s="1"/>
      <c r="D1" s="2"/>
      <c r="E1" s="4"/>
      <c r="F1" s="26"/>
      <c r="G1" s="26"/>
      <c r="I1" s="2"/>
      <c r="J1" s="36"/>
    </row>
    <row r="2" spans="1:65" ht="30" customHeight="1">
      <c r="A2" s="27" t="s">
        <v>2</v>
      </c>
      <c r="B2" s="31"/>
      <c r="G2"/>
      <c r="J2" s="37"/>
    </row>
    <row r="3" spans="1:65" ht="39.950000000000003">
      <c r="A3" s="27" t="s">
        <v>3</v>
      </c>
      <c r="B3" s="72" t="s">
        <v>4</v>
      </c>
      <c r="C3" s="124" t="s">
        <v>5</v>
      </c>
      <c r="D3" s="125"/>
      <c r="E3" s="126">
        <v>44830</v>
      </c>
      <c r="F3" s="126"/>
      <c r="G3" s="38"/>
    </row>
    <row r="4" spans="1:65" ht="30" customHeight="1">
      <c r="A4" s="28" t="s">
        <v>6</v>
      </c>
      <c r="C4" s="124" t="s">
        <v>7</v>
      </c>
      <c r="D4" s="125"/>
      <c r="E4" s="7">
        <v>1</v>
      </c>
      <c r="G4"/>
      <c r="J4" s="119">
        <f>J5</f>
        <v>44830</v>
      </c>
      <c r="K4" s="120"/>
      <c r="L4" s="120"/>
      <c r="M4" s="120"/>
      <c r="N4" s="120"/>
      <c r="O4" s="120"/>
      <c r="P4" s="121"/>
      <c r="Q4" s="119">
        <f>Q5</f>
        <v>44837</v>
      </c>
      <c r="R4" s="120"/>
      <c r="S4" s="120"/>
      <c r="T4" s="120"/>
      <c r="U4" s="120"/>
      <c r="V4" s="120"/>
      <c r="W4" s="121"/>
      <c r="X4" s="119">
        <f>X5</f>
        <v>44844</v>
      </c>
      <c r="Y4" s="120"/>
      <c r="Z4" s="120"/>
      <c r="AA4" s="120"/>
      <c r="AB4" s="120"/>
      <c r="AC4" s="120"/>
      <c r="AD4" s="121"/>
      <c r="AE4" s="119">
        <f>AE5</f>
        <v>44851</v>
      </c>
      <c r="AF4" s="120"/>
      <c r="AG4" s="120"/>
      <c r="AH4" s="120"/>
      <c r="AI4" s="120"/>
      <c r="AJ4" s="120"/>
      <c r="AK4" s="121"/>
      <c r="AL4" s="119">
        <f>AL5</f>
        <v>44858</v>
      </c>
      <c r="AM4" s="120"/>
      <c r="AN4" s="120"/>
      <c r="AO4" s="120"/>
      <c r="AP4" s="120"/>
      <c r="AQ4" s="120"/>
      <c r="AR4" s="121"/>
      <c r="AS4" s="119">
        <f>AS5</f>
        <v>44865</v>
      </c>
      <c r="AT4" s="120"/>
      <c r="AU4" s="120"/>
      <c r="AV4" s="120"/>
      <c r="AW4" s="120"/>
      <c r="AX4" s="120"/>
      <c r="AY4" s="121"/>
      <c r="AZ4" s="119">
        <f>AZ5</f>
        <v>44872</v>
      </c>
      <c r="BA4" s="120"/>
      <c r="BB4" s="120"/>
      <c r="BC4" s="120"/>
      <c r="BD4" s="120"/>
      <c r="BE4" s="120"/>
      <c r="BF4" s="121"/>
      <c r="BG4" s="119">
        <f>BG5</f>
        <v>44879</v>
      </c>
      <c r="BH4" s="120"/>
      <c r="BI4" s="120"/>
      <c r="BJ4" s="120"/>
      <c r="BK4" s="120"/>
      <c r="BL4" s="120"/>
      <c r="BM4" s="121"/>
    </row>
    <row r="5" spans="1:65" ht="15" customHeight="1">
      <c r="A5" s="28" t="s">
        <v>8</v>
      </c>
      <c r="B5" s="35"/>
      <c r="C5" s="35"/>
      <c r="D5" s="35"/>
      <c r="E5" s="35"/>
      <c r="F5" s="35"/>
      <c r="G5" s="35"/>
      <c r="H5" s="35"/>
      <c r="J5" s="10">
        <f>Project_Start-WEEKDAY(Project_Start,1)+2+7*(Display_Week-1)</f>
        <v>44830</v>
      </c>
      <c r="K5" s="9">
        <f>J5+1</f>
        <v>44831</v>
      </c>
      <c r="L5" s="9">
        <f t="shared" ref="L5:AY5" si="0">K5+1</f>
        <v>44832</v>
      </c>
      <c r="M5" s="9">
        <f t="shared" si="0"/>
        <v>44833</v>
      </c>
      <c r="N5" s="9">
        <f t="shared" si="0"/>
        <v>44834</v>
      </c>
      <c r="O5" s="9">
        <f t="shared" si="0"/>
        <v>44835</v>
      </c>
      <c r="P5" s="11">
        <f t="shared" si="0"/>
        <v>44836</v>
      </c>
      <c r="Q5" s="10">
        <f>P5+1</f>
        <v>44837</v>
      </c>
      <c r="R5" s="9">
        <f>Q5+1</f>
        <v>44838</v>
      </c>
      <c r="S5" s="9">
        <f t="shared" si="0"/>
        <v>44839</v>
      </c>
      <c r="T5" s="9">
        <f t="shared" si="0"/>
        <v>44840</v>
      </c>
      <c r="U5" s="9">
        <f t="shared" si="0"/>
        <v>44841</v>
      </c>
      <c r="V5" s="9">
        <f t="shared" si="0"/>
        <v>44842</v>
      </c>
      <c r="W5" s="11">
        <f t="shared" si="0"/>
        <v>44843</v>
      </c>
      <c r="X5" s="10">
        <f>W5+1</f>
        <v>44844</v>
      </c>
      <c r="Y5" s="9">
        <f>X5+1</f>
        <v>44845</v>
      </c>
      <c r="Z5" s="9">
        <f t="shared" si="0"/>
        <v>44846</v>
      </c>
      <c r="AA5" s="9">
        <f t="shared" si="0"/>
        <v>44847</v>
      </c>
      <c r="AB5" s="9">
        <f t="shared" si="0"/>
        <v>44848</v>
      </c>
      <c r="AC5" s="9">
        <f t="shared" si="0"/>
        <v>44849</v>
      </c>
      <c r="AD5" s="11">
        <f t="shared" si="0"/>
        <v>44850</v>
      </c>
      <c r="AE5" s="10">
        <f>AD5+1</f>
        <v>44851</v>
      </c>
      <c r="AF5" s="9">
        <f>AE5+1</f>
        <v>44852</v>
      </c>
      <c r="AG5" s="9">
        <f t="shared" si="0"/>
        <v>44853</v>
      </c>
      <c r="AH5" s="9">
        <f t="shared" si="0"/>
        <v>44854</v>
      </c>
      <c r="AI5" s="9">
        <f t="shared" si="0"/>
        <v>44855</v>
      </c>
      <c r="AJ5" s="9">
        <f t="shared" si="0"/>
        <v>44856</v>
      </c>
      <c r="AK5" s="11">
        <f t="shared" si="0"/>
        <v>44857</v>
      </c>
      <c r="AL5" s="10">
        <f>AK5+1</f>
        <v>44858</v>
      </c>
      <c r="AM5" s="9">
        <f>AL5+1</f>
        <v>44859</v>
      </c>
      <c r="AN5" s="9">
        <f t="shared" si="0"/>
        <v>44860</v>
      </c>
      <c r="AO5" s="9">
        <f t="shared" si="0"/>
        <v>44861</v>
      </c>
      <c r="AP5" s="9">
        <f t="shared" si="0"/>
        <v>44862</v>
      </c>
      <c r="AQ5" s="9">
        <f t="shared" si="0"/>
        <v>44863</v>
      </c>
      <c r="AR5" s="11">
        <f t="shared" si="0"/>
        <v>44864</v>
      </c>
      <c r="AS5" s="10">
        <f>AR5+1</f>
        <v>44865</v>
      </c>
      <c r="AT5" s="9">
        <f>AS5+1</f>
        <v>44866</v>
      </c>
      <c r="AU5" s="9">
        <f t="shared" si="0"/>
        <v>44867</v>
      </c>
      <c r="AV5" s="9">
        <f t="shared" si="0"/>
        <v>44868</v>
      </c>
      <c r="AW5" s="9">
        <f t="shared" si="0"/>
        <v>44869</v>
      </c>
      <c r="AX5" s="9">
        <f t="shared" si="0"/>
        <v>44870</v>
      </c>
      <c r="AY5" s="11">
        <f t="shared" si="0"/>
        <v>44871</v>
      </c>
      <c r="AZ5" s="10">
        <f>AY5+1</f>
        <v>44872</v>
      </c>
      <c r="BA5" s="9">
        <f>AZ5+1</f>
        <v>44873</v>
      </c>
      <c r="BB5" s="9">
        <f t="shared" ref="BB5:BF5" si="1">BA5+1</f>
        <v>44874</v>
      </c>
      <c r="BC5" s="9">
        <f t="shared" si="1"/>
        <v>44875</v>
      </c>
      <c r="BD5" s="9">
        <f t="shared" si="1"/>
        <v>44876</v>
      </c>
      <c r="BE5" s="9">
        <f t="shared" si="1"/>
        <v>44877</v>
      </c>
      <c r="BF5" s="11">
        <f t="shared" si="1"/>
        <v>44878</v>
      </c>
      <c r="BG5" s="10">
        <f>BF5+1</f>
        <v>44879</v>
      </c>
      <c r="BH5" s="9">
        <f>BG5+1</f>
        <v>44880</v>
      </c>
      <c r="BI5" s="9">
        <f t="shared" ref="BI5:BM5" si="2">BH5+1</f>
        <v>44881</v>
      </c>
      <c r="BJ5" s="9">
        <f t="shared" si="2"/>
        <v>44882</v>
      </c>
      <c r="BK5" s="9">
        <f t="shared" si="2"/>
        <v>44883</v>
      </c>
      <c r="BL5" s="9">
        <f t="shared" si="2"/>
        <v>44884</v>
      </c>
      <c r="BM5" s="11">
        <f t="shared" si="2"/>
        <v>44885</v>
      </c>
    </row>
    <row r="6" spans="1:65" ht="30" customHeight="1" thickBot="1">
      <c r="A6" s="28" t="s">
        <v>9</v>
      </c>
      <c r="B6" s="39" t="s">
        <v>10</v>
      </c>
      <c r="C6" s="40" t="s">
        <v>11</v>
      </c>
      <c r="D6" s="40" t="s">
        <v>12</v>
      </c>
      <c r="E6" s="40" t="s">
        <v>13</v>
      </c>
      <c r="F6" s="40" t="s">
        <v>14</v>
      </c>
      <c r="G6" s="40" t="s">
        <v>15</v>
      </c>
      <c r="H6" s="8"/>
      <c r="I6" s="8" t="s">
        <v>16</v>
      </c>
      <c r="J6" s="12" t="str">
        <f t="shared" ref="J6" si="3">LEFT(TEXT(J5,"ddd"),1)</f>
        <v>M</v>
      </c>
      <c r="K6" s="12" t="str">
        <f t="shared" ref="K6:AS6" si="4">LEFT(TEXT(K5,"ddd"),1)</f>
        <v>T</v>
      </c>
      <c r="L6" s="12" t="str">
        <f t="shared" si="4"/>
        <v>W</v>
      </c>
      <c r="M6" s="12" t="str">
        <f t="shared" si="4"/>
        <v>T</v>
      </c>
      <c r="N6" s="12" t="str">
        <f t="shared" si="4"/>
        <v>F</v>
      </c>
      <c r="O6" s="12" t="str">
        <f t="shared" si="4"/>
        <v>S</v>
      </c>
      <c r="P6" s="12" t="str">
        <f t="shared" si="4"/>
        <v>S</v>
      </c>
      <c r="Q6" s="12" t="str">
        <f t="shared" si="4"/>
        <v>M</v>
      </c>
      <c r="R6" s="12" t="str">
        <f t="shared" si="4"/>
        <v>T</v>
      </c>
      <c r="S6" s="12" t="str">
        <f t="shared" si="4"/>
        <v>W</v>
      </c>
      <c r="T6" s="12" t="str">
        <f t="shared" si="4"/>
        <v>T</v>
      </c>
      <c r="U6" s="12" t="str">
        <f t="shared" si="4"/>
        <v>F</v>
      </c>
      <c r="V6" s="12" t="str">
        <f t="shared" si="4"/>
        <v>S</v>
      </c>
      <c r="W6" s="12" t="str">
        <f t="shared" si="4"/>
        <v>S</v>
      </c>
      <c r="X6" s="12" t="str">
        <f t="shared" si="4"/>
        <v>M</v>
      </c>
      <c r="Y6" s="12" t="str">
        <f t="shared" si="4"/>
        <v>T</v>
      </c>
      <c r="Z6" s="12" t="str">
        <f t="shared" si="4"/>
        <v>W</v>
      </c>
      <c r="AA6" s="12" t="str">
        <f t="shared" si="4"/>
        <v>T</v>
      </c>
      <c r="AB6" s="12" t="str">
        <f t="shared" si="4"/>
        <v>F</v>
      </c>
      <c r="AC6" s="12" t="str">
        <f t="shared" si="4"/>
        <v>S</v>
      </c>
      <c r="AD6" s="12" t="str">
        <f t="shared" si="4"/>
        <v>S</v>
      </c>
      <c r="AE6" s="12" t="str">
        <f t="shared" si="4"/>
        <v>M</v>
      </c>
      <c r="AF6" s="12" t="str">
        <f t="shared" si="4"/>
        <v>T</v>
      </c>
      <c r="AG6" s="12" t="str">
        <f t="shared" si="4"/>
        <v>W</v>
      </c>
      <c r="AH6" s="12" t="str">
        <f t="shared" si="4"/>
        <v>T</v>
      </c>
      <c r="AI6" s="12" t="str">
        <f t="shared" si="4"/>
        <v>F</v>
      </c>
      <c r="AJ6" s="12" t="str">
        <f t="shared" si="4"/>
        <v>S</v>
      </c>
      <c r="AK6" s="12" t="str">
        <f t="shared" si="4"/>
        <v>S</v>
      </c>
      <c r="AL6" s="12" t="str">
        <f t="shared" si="4"/>
        <v>M</v>
      </c>
      <c r="AM6" s="12" t="str">
        <f t="shared" si="4"/>
        <v>T</v>
      </c>
      <c r="AN6" s="12" t="str">
        <f t="shared" si="4"/>
        <v>W</v>
      </c>
      <c r="AO6" s="12" t="str">
        <f t="shared" si="4"/>
        <v>T</v>
      </c>
      <c r="AP6" s="12" t="str">
        <f t="shared" si="4"/>
        <v>F</v>
      </c>
      <c r="AQ6" s="12" t="str">
        <f t="shared" si="4"/>
        <v>S</v>
      </c>
      <c r="AR6" s="12" t="str">
        <f t="shared" si="4"/>
        <v>S</v>
      </c>
      <c r="AS6" s="12" t="str">
        <f t="shared" si="4"/>
        <v>M</v>
      </c>
      <c r="AT6" s="12" t="str">
        <f t="shared" ref="AT6:BM6" si="5">LEFT(TEXT(AT5,"ddd"),1)</f>
        <v>T</v>
      </c>
      <c r="AU6" s="12" t="str">
        <f t="shared" si="5"/>
        <v>W</v>
      </c>
      <c r="AV6" s="12" t="str">
        <f t="shared" si="5"/>
        <v>T</v>
      </c>
      <c r="AW6" s="12" t="str">
        <f t="shared" si="5"/>
        <v>F</v>
      </c>
      <c r="AX6" s="12" t="str">
        <f t="shared" si="5"/>
        <v>S</v>
      </c>
      <c r="AY6" s="12" t="str">
        <f t="shared" si="5"/>
        <v>S</v>
      </c>
      <c r="AZ6" s="12" t="str">
        <f t="shared" si="5"/>
        <v>M</v>
      </c>
      <c r="BA6" s="12" t="str">
        <f t="shared" si="5"/>
        <v>T</v>
      </c>
      <c r="BB6" s="12" t="str">
        <f t="shared" si="5"/>
        <v>W</v>
      </c>
      <c r="BC6" s="12" t="str">
        <f t="shared" si="5"/>
        <v>T</v>
      </c>
      <c r="BD6" s="12" t="str">
        <f t="shared" si="5"/>
        <v>F</v>
      </c>
      <c r="BE6" s="12" t="str">
        <f t="shared" si="5"/>
        <v>S</v>
      </c>
      <c r="BF6" s="12" t="str">
        <f t="shared" si="5"/>
        <v>S</v>
      </c>
      <c r="BG6" s="12" t="str">
        <f t="shared" si="5"/>
        <v>M</v>
      </c>
      <c r="BH6" s="12" t="str">
        <f t="shared" si="5"/>
        <v>T</v>
      </c>
      <c r="BI6" s="12" t="str">
        <f t="shared" si="5"/>
        <v>W</v>
      </c>
      <c r="BJ6" s="12" t="str">
        <f t="shared" si="5"/>
        <v>T</v>
      </c>
      <c r="BK6" s="12" t="str">
        <f t="shared" si="5"/>
        <v>F</v>
      </c>
      <c r="BL6" s="12" t="str">
        <f t="shared" si="5"/>
        <v>S</v>
      </c>
      <c r="BM6" s="12" t="str">
        <f t="shared" si="5"/>
        <v>S</v>
      </c>
    </row>
    <row r="7" spans="1:65" ht="30" hidden="1" customHeight="1" thickBot="1">
      <c r="A7" s="27" t="s">
        <v>17</v>
      </c>
      <c r="B7" s="81"/>
      <c r="C7" s="82"/>
      <c r="D7" s="81"/>
      <c r="E7" s="81"/>
      <c r="F7" s="81"/>
      <c r="G7" s="81"/>
      <c r="I7" t="str">
        <f ca="1">IF(OR(ISBLANK(task_start),ISBLANK(task_end)),"",task_end-task_start+1)</f>
        <v/>
      </c>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row>
    <row r="8" spans="1:65" ht="30" customHeight="1" thickBot="1">
      <c r="B8" s="58" t="s">
        <v>18</v>
      </c>
      <c r="C8" s="83"/>
      <c r="D8" s="49"/>
      <c r="E8" s="84"/>
      <c r="F8" s="59"/>
      <c r="G8" s="64"/>
      <c r="J8" s="23"/>
      <c r="K8" s="23"/>
      <c r="L8" s="23"/>
      <c r="M8" s="23"/>
      <c r="N8" s="23"/>
      <c r="O8" s="23"/>
      <c r="P8" s="23"/>
      <c r="Q8" s="23"/>
      <c r="R8" s="23"/>
      <c r="S8" s="23"/>
      <c r="T8" s="23"/>
      <c r="U8" s="23"/>
      <c r="V8" s="23"/>
      <c r="W8" s="23"/>
      <c r="X8" s="23"/>
      <c r="Y8" s="23"/>
      <c r="Z8" s="23"/>
      <c r="AA8" s="23"/>
      <c r="AB8" s="23"/>
      <c r="AC8" s="23"/>
      <c r="AD8" s="23"/>
      <c r="AE8" s="23"/>
      <c r="AF8" s="23"/>
      <c r="AG8" s="23"/>
      <c r="AH8" s="23"/>
      <c r="AI8" s="23"/>
      <c r="AJ8" s="23"/>
      <c r="AK8" s="23"/>
      <c r="AL8" s="23"/>
      <c r="AM8" s="23"/>
      <c r="AN8" s="23"/>
      <c r="AO8" s="23"/>
      <c r="AP8" s="23"/>
      <c r="AQ8" s="23"/>
      <c r="AR8" s="23"/>
      <c r="AS8" s="23"/>
      <c r="AT8" s="23"/>
      <c r="AU8" s="23"/>
      <c r="AV8" s="23"/>
      <c r="AW8" s="23"/>
      <c r="AX8" s="23"/>
      <c r="AY8" s="23"/>
      <c r="AZ8" s="23"/>
      <c r="BA8" s="23"/>
      <c r="BB8" s="23"/>
      <c r="BC8" s="23"/>
      <c r="BD8" s="23"/>
      <c r="BE8" s="23"/>
      <c r="BF8" s="23"/>
      <c r="BG8" s="23"/>
      <c r="BH8" s="23"/>
      <c r="BI8" s="23"/>
      <c r="BJ8" s="23"/>
      <c r="BK8" s="23"/>
      <c r="BL8" s="23"/>
      <c r="BM8" s="23"/>
    </row>
    <row r="9" spans="1:65" ht="30" customHeight="1" thickBot="1">
      <c r="B9" s="85" t="s">
        <v>19</v>
      </c>
      <c r="C9" s="86" t="s">
        <v>20</v>
      </c>
      <c r="D9" s="50">
        <v>1</v>
      </c>
      <c r="E9" s="87">
        <v>44830</v>
      </c>
      <c r="F9" s="87">
        <v>44830</v>
      </c>
      <c r="G9" s="88">
        <f>NETWORKDAYS(E9,F9)</f>
        <v>1</v>
      </c>
      <c r="J9" s="23"/>
      <c r="K9" s="23"/>
      <c r="L9" s="23"/>
      <c r="M9" s="23"/>
      <c r="N9" s="23"/>
      <c r="O9" s="23"/>
      <c r="P9" s="23"/>
      <c r="Q9" s="23"/>
      <c r="R9" s="23"/>
      <c r="S9" s="23"/>
      <c r="T9" s="23"/>
      <c r="U9" s="23"/>
      <c r="V9" s="23"/>
      <c r="W9" s="23"/>
      <c r="X9" s="23"/>
      <c r="Y9" s="23"/>
      <c r="Z9" s="23"/>
      <c r="AA9" s="23"/>
      <c r="AB9" s="23"/>
      <c r="AC9" s="23"/>
      <c r="AD9" s="23"/>
      <c r="AE9" s="23"/>
      <c r="AF9" s="23"/>
      <c r="AG9" s="23"/>
      <c r="AH9" s="23"/>
      <c r="AI9" s="23"/>
      <c r="AJ9" s="23"/>
      <c r="AK9" s="23"/>
      <c r="AL9" s="23"/>
      <c r="AM9" s="23"/>
      <c r="AN9" s="23"/>
      <c r="AO9" s="23"/>
      <c r="AP9" s="23"/>
      <c r="AQ9" s="23"/>
      <c r="AR9" s="23"/>
      <c r="AS9" s="23"/>
      <c r="AT9" s="23"/>
      <c r="AU9" s="23"/>
      <c r="AV9" s="23"/>
      <c r="AW9" s="23"/>
      <c r="AX9" s="23"/>
      <c r="AY9" s="23"/>
      <c r="AZ9" s="23"/>
      <c r="BA9" s="23"/>
      <c r="BB9" s="23"/>
      <c r="BC9" s="23"/>
      <c r="BD9" s="23"/>
      <c r="BE9" s="23"/>
      <c r="BF9" s="23"/>
      <c r="BG9" s="23"/>
      <c r="BH9" s="23"/>
      <c r="BI9" s="23"/>
      <c r="BJ9" s="23"/>
      <c r="BK9" s="23"/>
      <c r="BL9" s="23"/>
      <c r="BM9" s="23"/>
    </row>
    <row r="10" spans="1:65" ht="48.75">
      <c r="B10" s="89" t="s">
        <v>21</v>
      </c>
      <c r="C10" s="86"/>
      <c r="D10" s="50"/>
      <c r="E10" s="87"/>
      <c r="F10" s="87"/>
      <c r="G10" s="88"/>
      <c r="J10" s="23"/>
      <c r="K10" s="23"/>
      <c r="L10" s="23"/>
      <c r="M10" s="23"/>
      <c r="N10" s="23"/>
      <c r="O10" s="23"/>
      <c r="P10" s="23"/>
      <c r="Q10" s="23"/>
      <c r="R10" s="23"/>
      <c r="S10" s="23"/>
      <c r="T10" s="23"/>
      <c r="U10" s="23"/>
      <c r="V10" s="23"/>
      <c r="W10" s="23"/>
      <c r="X10" s="23"/>
      <c r="Y10" s="23"/>
      <c r="Z10" s="23"/>
      <c r="AA10" s="23"/>
      <c r="AB10" s="23"/>
      <c r="AC10" s="23"/>
      <c r="AD10" s="23"/>
      <c r="AE10" s="23"/>
      <c r="AF10" s="23"/>
      <c r="AG10" s="23"/>
      <c r="AH10" s="23"/>
      <c r="AI10" s="23"/>
      <c r="AJ10" s="23"/>
      <c r="AK10" s="23"/>
      <c r="AL10" s="23"/>
      <c r="AM10" s="23"/>
      <c r="AN10" s="23"/>
      <c r="AO10" s="23"/>
      <c r="AP10" s="23"/>
      <c r="AQ10" s="23"/>
      <c r="AR10" s="23"/>
      <c r="AS10" s="23"/>
      <c r="AT10" s="23"/>
      <c r="AU10" s="23"/>
      <c r="AV10" s="23"/>
      <c r="AW10" s="23"/>
      <c r="AX10" s="23"/>
      <c r="AY10" s="23"/>
      <c r="AZ10" s="23"/>
      <c r="BA10" s="23"/>
      <c r="BB10" s="23"/>
      <c r="BC10" s="23"/>
      <c r="BD10" s="23"/>
      <c r="BE10" s="23"/>
      <c r="BF10" s="23"/>
      <c r="BG10" s="23"/>
      <c r="BH10" s="23"/>
      <c r="BI10" s="23"/>
      <c r="BJ10" s="23"/>
      <c r="BK10" s="23"/>
      <c r="BL10" s="23"/>
      <c r="BM10" s="23"/>
    </row>
    <row r="11" spans="1:65" ht="30" customHeight="1" thickBot="1">
      <c r="B11" s="89" t="s">
        <v>22</v>
      </c>
      <c r="C11" s="86" t="s">
        <v>23</v>
      </c>
      <c r="D11" s="50">
        <v>1</v>
      </c>
      <c r="E11" s="87">
        <v>44834</v>
      </c>
      <c r="F11" s="87">
        <v>44834</v>
      </c>
      <c r="G11" s="88">
        <f t="shared" ref="G11:G18" si="6">NETWORKDAYS(E11,F11)</f>
        <v>1</v>
      </c>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row>
    <row r="12" spans="1:65" ht="30" customHeight="1" thickBot="1">
      <c r="B12" s="89" t="s">
        <v>24</v>
      </c>
      <c r="C12" s="86" t="s">
        <v>20</v>
      </c>
      <c r="D12" s="50">
        <v>0</v>
      </c>
      <c r="E12" s="87">
        <v>44833</v>
      </c>
      <c r="F12" s="87">
        <v>44833</v>
      </c>
      <c r="G12" s="88">
        <f t="shared" si="6"/>
        <v>1</v>
      </c>
      <c r="J12" s="23"/>
      <c r="K12" s="23"/>
      <c r="L12" s="23"/>
      <c r="M12" s="23"/>
      <c r="N12" s="23"/>
      <c r="O12" s="23"/>
      <c r="P12" s="23"/>
      <c r="Q12" s="23"/>
      <c r="R12" s="23"/>
      <c r="S12" s="23"/>
      <c r="T12" s="23"/>
      <c r="U12" s="23"/>
      <c r="V12" s="23"/>
      <c r="W12" s="23"/>
      <c r="X12" s="23"/>
      <c r="Y12" s="23"/>
      <c r="Z12" s="23"/>
      <c r="AA12" s="23"/>
      <c r="AB12" s="23"/>
      <c r="AC12" s="23"/>
      <c r="AD12" s="23"/>
      <c r="AE12" s="23"/>
      <c r="AF12" s="23"/>
      <c r="AG12" s="23"/>
      <c r="AH12" s="23"/>
      <c r="AI12" s="23"/>
      <c r="AJ12" s="23"/>
      <c r="AK12" s="23"/>
      <c r="AL12" s="23"/>
      <c r="AM12" s="23"/>
      <c r="AN12" s="23"/>
      <c r="AO12" s="23"/>
      <c r="AP12" s="23"/>
      <c r="AQ12" s="23"/>
      <c r="AR12" s="23"/>
      <c r="AS12" s="23"/>
      <c r="AT12" s="23"/>
      <c r="AU12" s="23"/>
      <c r="AV12" s="23"/>
      <c r="AW12" s="23"/>
      <c r="AX12" s="23"/>
      <c r="AY12" s="23"/>
      <c r="AZ12" s="23"/>
      <c r="BA12" s="23"/>
      <c r="BB12" s="23"/>
      <c r="BC12" s="23"/>
      <c r="BD12" s="23"/>
      <c r="BE12" s="23"/>
      <c r="BF12" s="23"/>
      <c r="BG12" s="23"/>
      <c r="BH12" s="23"/>
      <c r="BI12" s="23"/>
      <c r="BJ12" s="23"/>
      <c r="BK12" s="23"/>
      <c r="BL12" s="23"/>
      <c r="BM12" s="23"/>
    </row>
    <row r="13" spans="1:65" ht="30" customHeight="1">
      <c r="B13" s="89" t="s">
        <v>25</v>
      </c>
      <c r="C13" s="86" t="s">
        <v>26</v>
      </c>
      <c r="D13" s="50">
        <v>0.5</v>
      </c>
      <c r="E13" s="87">
        <v>44841</v>
      </c>
      <c r="F13" s="87">
        <v>44841</v>
      </c>
      <c r="G13" s="88">
        <f t="shared" ref="G13" si="7">NETWORKDAYS(E13,F13)</f>
        <v>1</v>
      </c>
      <c r="J13" s="23"/>
      <c r="K13" s="23"/>
      <c r="L13" s="23"/>
      <c r="M13" s="23"/>
      <c r="N13" s="23"/>
      <c r="O13" s="23"/>
      <c r="P13" s="23"/>
      <c r="Q13" s="23"/>
      <c r="R13" s="23"/>
      <c r="S13" s="23"/>
      <c r="T13" s="23"/>
      <c r="U13" s="23"/>
      <c r="V13" s="23"/>
      <c r="W13" s="23"/>
      <c r="X13" s="23"/>
      <c r="Y13" s="23"/>
      <c r="Z13" s="23"/>
      <c r="AA13" s="23"/>
      <c r="AB13" s="23"/>
      <c r="AC13" s="23"/>
      <c r="AD13" s="23"/>
      <c r="AE13" s="23"/>
      <c r="AF13" s="23"/>
      <c r="AG13" s="23"/>
      <c r="AH13" s="23"/>
      <c r="AI13" s="23"/>
      <c r="AJ13" s="23"/>
      <c r="AK13" s="23"/>
      <c r="AL13" s="23"/>
      <c r="AM13" s="23"/>
      <c r="AN13" s="23"/>
      <c r="AO13" s="23"/>
      <c r="AP13" s="23"/>
      <c r="AQ13" s="23"/>
      <c r="AR13" s="23"/>
      <c r="AS13" s="23"/>
      <c r="AT13" s="23"/>
      <c r="AU13" s="23"/>
      <c r="AV13" s="23"/>
      <c r="AW13" s="23"/>
      <c r="AX13" s="23"/>
      <c r="AY13" s="23"/>
      <c r="AZ13" s="23"/>
      <c r="BA13" s="23"/>
      <c r="BB13" s="23"/>
      <c r="BC13" s="23"/>
      <c r="BD13" s="23"/>
      <c r="BE13" s="23"/>
      <c r="BF13" s="23"/>
      <c r="BG13" s="23"/>
      <c r="BH13" s="23"/>
      <c r="BI13" s="23"/>
      <c r="BJ13" s="23"/>
      <c r="BK13" s="23"/>
      <c r="BL13" s="23"/>
      <c r="BM13" s="23"/>
    </row>
    <row r="14" spans="1:65" ht="48.75">
      <c r="B14" s="89" t="s">
        <v>27</v>
      </c>
      <c r="C14" s="86"/>
      <c r="D14" s="50"/>
      <c r="E14" s="87"/>
      <c r="F14" s="87"/>
      <c r="G14" s="88"/>
      <c r="J14" s="23"/>
      <c r="K14" s="23"/>
      <c r="L14" s="23"/>
      <c r="M14" s="23"/>
      <c r="N14" s="23"/>
      <c r="O14" s="23"/>
      <c r="P14" s="23"/>
      <c r="Q14" s="23"/>
      <c r="R14" s="23"/>
      <c r="S14" s="23"/>
      <c r="T14" s="23"/>
      <c r="U14" s="23"/>
      <c r="V14" s="23"/>
      <c r="W14" s="23"/>
      <c r="X14" s="23"/>
      <c r="Y14" s="23"/>
      <c r="Z14" s="23"/>
      <c r="AA14" s="23"/>
      <c r="AB14" s="23"/>
      <c r="AC14" s="23"/>
      <c r="AD14" s="23"/>
      <c r="AE14" s="23"/>
      <c r="AF14" s="23"/>
      <c r="AG14" s="23"/>
      <c r="AH14" s="23"/>
      <c r="AI14" s="23"/>
      <c r="AJ14" s="23"/>
      <c r="AK14" s="23"/>
      <c r="AL14" s="23"/>
      <c r="AM14" s="23"/>
      <c r="AN14" s="23"/>
      <c r="AO14" s="23"/>
      <c r="AP14" s="23"/>
      <c r="AQ14" s="23"/>
      <c r="AR14" s="23"/>
      <c r="AS14" s="23"/>
      <c r="AT14" s="23"/>
      <c r="AU14" s="23"/>
      <c r="AV14" s="23"/>
      <c r="AW14" s="23"/>
      <c r="AX14" s="23"/>
      <c r="AY14" s="23"/>
      <c r="AZ14" s="23"/>
      <c r="BA14" s="23"/>
      <c r="BB14" s="23"/>
      <c r="BC14" s="23"/>
      <c r="BD14" s="23"/>
      <c r="BE14" s="23"/>
      <c r="BF14" s="23"/>
      <c r="BG14" s="23"/>
      <c r="BH14" s="23"/>
      <c r="BI14" s="23"/>
      <c r="BJ14" s="23"/>
      <c r="BK14" s="23"/>
      <c r="BL14" s="23"/>
      <c r="BM14" s="23"/>
    </row>
    <row r="15" spans="1:65" ht="30" customHeight="1">
      <c r="B15" s="89" t="s">
        <v>28</v>
      </c>
      <c r="C15" s="86" t="s">
        <v>29</v>
      </c>
      <c r="D15" s="50">
        <v>0</v>
      </c>
      <c r="E15" s="87">
        <v>44844</v>
      </c>
      <c r="F15" s="87">
        <v>44844</v>
      </c>
      <c r="G15" s="88">
        <f t="shared" ref="G15" si="8">NETWORKDAYS(E15,F15)</f>
        <v>1</v>
      </c>
      <c r="J15" s="23"/>
      <c r="K15" s="23"/>
      <c r="L15" s="23"/>
      <c r="M15" s="23"/>
      <c r="N15" s="23"/>
      <c r="O15" s="23"/>
      <c r="P15" s="23"/>
      <c r="Q15" s="23"/>
      <c r="R15" s="23"/>
      <c r="S15" s="23"/>
      <c r="T15" s="23"/>
      <c r="U15" s="23"/>
      <c r="V15" s="23"/>
      <c r="W15" s="23"/>
      <c r="X15" s="23"/>
      <c r="Y15" s="23"/>
      <c r="Z15" s="23"/>
      <c r="AA15" s="23"/>
      <c r="AB15" s="23"/>
      <c r="AC15" s="23"/>
      <c r="AD15" s="23"/>
      <c r="AE15" s="23"/>
      <c r="AF15" s="23"/>
      <c r="AG15" s="23"/>
      <c r="AH15" s="23"/>
      <c r="AI15" s="23"/>
      <c r="AJ15" s="23"/>
      <c r="AK15" s="23"/>
      <c r="AL15" s="23"/>
      <c r="AM15" s="23"/>
      <c r="AN15" s="23"/>
      <c r="AO15" s="23"/>
      <c r="AP15" s="23"/>
      <c r="AQ15" s="23"/>
      <c r="AR15" s="23"/>
      <c r="AS15" s="23"/>
      <c r="AT15" s="23"/>
      <c r="AU15" s="23"/>
      <c r="AV15" s="23"/>
      <c r="AW15" s="23"/>
      <c r="AX15" s="23"/>
      <c r="AY15" s="23"/>
      <c r="AZ15" s="23"/>
      <c r="BA15" s="23"/>
      <c r="BB15" s="23"/>
      <c r="BC15" s="23"/>
      <c r="BD15" s="23"/>
      <c r="BE15" s="23"/>
      <c r="BF15" s="23"/>
      <c r="BG15" s="23"/>
      <c r="BH15" s="23"/>
      <c r="BI15" s="23"/>
      <c r="BJ15" s="23"/>
      <c r="BK15" s="23"/>
      <c r="BL15" s="23"/>
      <c r="BM15" s="23"/>
    </row>
    <row r="16" spans="1:65" s="3" customFormat="1" ht="30" customHeight="1" thickBot="1">
      <c r="A16" s="28" t="s">
        <v>30</v>
      </c>
      <c r="B16" s="41" t="s">
        <v>31</v>
      </c>
      <c r="C16" s="55"/>
      <c r="D16" s="42"/>
      <c r="E16" s="90"/>
      <c r="F16" s="43"/>
      <c r="G16" s="65"/>
      <c r="H16" s="16"/>
      <c r="I16" s="16" t="str">
        <f t="shared" ref="I16:I50" ca="1" si="9">IF(OR(ISBLANK(task_start),ISBLANK(task_end)),"",task_end-task_start+1)</f>
        <v/>
      </c>
      <c r="J16" s="23"/>
      <c r="K16" s="23"/>
      <c r="L16" s="23"/>
      <c r="M16" s="23"/>
      <c r="N16" s="23"/>
      <c r="O16" s="23"/>
      <c r="P16" s="23"/>
      <c r="Q16" s="23"/>
      <c r="R16" s="23"/>
      <c r="S16" s="23"/>
      <c r="T16" s="23"/>
      <c r="U16" s="23"/>
      <c r="V16" s="23"/>
      <c r="W16" s="23"/>
      <c r="X16" s="23"/>
      <c r="Y16" s="23"/>
      <c r="Z16" s="23"/>
      <c r="AA16" s="23"/>
      <c r="AB16" s="23"/>
      <c r="AC16" s="23"/>
      <c r="AD16" s="23"/>
      <c r="AE16" s="23"/>
      <c r="AF16" s="23"/>
      <c r="AG16" s="23"/>
      <c r="AH16" s="23"/>
      <c r="AI16" s="23"/>
      <c r="AJ16" s="23"/>
      <c r="AK16" s="23"/>
      <c r="AL16" s="23"/>
      <c r="AM16" s="23"/>
      <c r="AN16" s="23"/>
      <c r="AO16" s="23"/>
      <c r="AP16" s="23"/>
      <c r="AQ16" s="23"/>
      <c r="AR16" s="23"/>
      <c r="AS16" s="23"/>
      <c r="AT16" s="23"/>
      <c r="AU16" s="23"/>
      <c r="AV16" s="23"/>
      <c r="AW16" s="23"/>
      <c r="AX16" s="23"/>
      <c r="AY16" s="23"/>
      <c r="AZ16" s="23"/>
      <c r="BA16" s="23"/>
      <c r="BB16" s="23"/>
      <c r="BC16" s="23"/>
      <c r="BD16" s="23"/>
      <c r="BE16" s="23"/>
      <c r="BF16" s="23"/>
      <c r="BG16" s="23"/>
      <c r="BH16" s="23"/>
      <c r="BI16" s="23"/>
      <c r="BJ16" s="23"/>
      <c r="BK16" s="23"/>
      <c r="BL16" s="23"/>
      <c r="BM16" s="23"/>
    </row>
    <row r="17" spans="1:65" s="3" customFormat="1" ht="30" customHeight="1" thickBot="1">
      <c r="A17" s="28"/>
      <c r="B17" s="91" t="s">
        <v>32</v>
      </c>
      <c r="C17" s="92" t="s">
        <v>23</v>
      </c>
      <c r="D17" s="44">
        <v>1</v>
      </c>
      <c r="E17" s="93">
        <v>44831</v>
      </c>
      <c r="F17" s="93">
        <v>44833</v>
      </c>
      <c r="G17" s="94">
        <f t="shared" si="6"/>
        <v>3</v>
      </c>
      <c r="H17" s="16"/>
      <c r="I17" s="16">
        <f t="shared" ca="1" si="9"/>
        <v>3</v>
      </c>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row>
    <row r="18" spans="1:65" s="3" customFormat="1" ht="30" customHeight="1" thickBot="1">
      <c r="A18" s="27"/>
      <c r="B18" s="91" t="s">
        <v>33</v>
      </c>
      <c r="C18" s="92" t="s">
        <v>20</v>
      </c>
      <c r="D18" s="44">
        <v>1</v>
      </c>
      <c r="E18" s="93">
        <v>44834</v>
      </c>
      <c r="F18" s="93">
        <v>44834</v>
      </c>
      <c r="G18" s="94">
        <f t="shared" si="6"/>
        <v>1</v>
      </c>
      <c r="H18" s="16"/>
      <c r="I18" s="16">
        <f t="shared" ca="1" si="9"/>
        <v>1</v>
      </c>
      <c r="J18" s="23"/>
      <c r="K18" s="23"/>
      <c r="L18" s="23"/>
      <c r="M18" s="23"/>
      <c r="N18" s="23"/>
      <c r="O18" s="23"/>
      <c r="P18" s="23"/>
      <c r="Q18" s="23"/>
      <c r="R18" s="23"/>
      <c r="S18" s="23"/>
      <c r="T18" s="23"/>
      <c r="U18" s="23"/>
      <c r="V18" s="24"/>
      <c r="W18" s="24"/>
      <c r="X18" s="23"/>
      <c r="Y18" s="23"/>
      <c r="Z18" s="23"/>
      <c r="AA18" s="23"/>
      <c r="AB18" s="23"/>
      <c r="AC18" s="23"/>
      <c r="AD18" s="23"/>
      <c r="AE18" s="23"/>
      <c r="AF18" s="23"/>
      <c r="AG18" s="23"/>
      <c r="AH18" s="23"/>
      <c r="AI18" s="23"/>
      <c r="AJ18" s="23"/>
      <c r="AK18" s="23"/>
      <c r="AL18" s="23"/>
      <c r="AM18" s="23"/>
      <c r="AN18" s="23"/>
      <c r="AO18" s="23"/>
      <c r="AP18" s="23"/>
      <c r="AQ18" s="23"/>
      <c r="AR18" s="23"/>
      <c r="AS18" s="23"/>
      <c r="AT18" s="23"/>
      <c r="AU18" s="23"/>
      <c r="AV18" s="23"/>
      <c r="AW18" s="23"/>
      <c r="AX18" s="23"/>
      <c r="AY18" s="23"/>
      <c r="AZ18" s="23"/>
      <c r="BA18" s="23"/>
      <c r="BB18" s="23"/>
      <c r="BC18" s="23"/>
      <c r="BD18" s="23"/>
      <c r="BE18" s="23"/>
      <c r="BF18" s="23"/>
      <c r="BG18" s="23"/>
      <c r="BH18" s="23"/>
      <c r="BI18" s="23"/>
      <c r="BJ18" s="23"/>
      <c r="BK18" s="23"/>
      <c r="BL18" s="23"/>
      <c r="BM18" s="23"/>
    </row>
    <row r="19" spans="1:65" s="3" customFormat="1" ht="30" customHeight="1" thickBot="1">
      <c r="A19" s="27"/>
      <c r="B19" s="95" t="s">
        <v>34</v>
      </c>
      <c r="C19" s="96"/>
      <c r="D19" s="74"/>
      <c r="E19" s="97"/>
      <c r="F19" s="97"/>
      <c r="G19" s="98"/>
      <c r="H19" s="16"/>
      <c r="I19" s="16"/>
      <c r="J19" s="23"/>
      <c r="K19" s="23"/>
      <c r="L19" s="23"/>
      <c r="M19" s="23"/>
      <c r="N19" s="23"/>
      <c r="O19" s="23"/>
      <c r="P19" s="23"/>
      <c r="Q19" s="23"/>
      <c r="R19" s="23"/>
      <c r="S19" s="23"/>
      <c r="T19" s="23"/>
      <c r="U19" s="23"/>
      <c r="V19" s="24"/>
      <c r="W19" s="24"/>
      <c r="X19" s="23"/>
      <c r="Y19" s="23"/>
      <c r="Z19" s="23"/>
      <c r="AA19" s="23"/>
      <c r="AB19" s="23"/>
      <c r="AC19" s="23"/>
      <c r="AD19" s="23"/>
      <c r="AE19" s="23"/>
      <c r="AF19" s="23"/>
      <c r="AG19" s="23"/>
      <c r="AH19" s="23"/>
      <c r="AI19" s="23"/>
      <c r="AJ19" s="23"/>
      <c r="AK19" s="23"/>
      <c r="AL19" s="23"/>
      <c r="AM19" s="23"/>
      <c r="AN19" s="23"/>
      <c r="AO19" s="23"/>
      <c r="AP19" s="23"/>
      <c r="AQ19" s="23"/>
      <c r="AR19" s="23"/>
      <c r="AS19" s="23"/>
      <c r="AT19" s="23"/>
      <c r="AU19" s="23"/>
      <c r="AV19" s="23"/>
      <c r="AW19" s="23"/>
      <c r="AX19" s="23"/>
      <c r="AY19" s="23"/>
      <c r="AZ19" s="23"/>
      <c r="BA19" s="23"/>
      <c r="BB19" s="23"/>
      <c r="BC19" s="23"/>
      <c r="BD19" s="23"/>
      <c r="BE19" s="23"/>
      <c r="BF19" s="23"/>
      <c r="BG19" s="23"/>
      <c r="BH19" s="23"/>
      <c r="BI19" s="23"/>
      <c r="BJ19" s="23"/>
      <c r="BK19" s="23"/>
      <c r="BL19" s="23"/>
      <c r="BM19" s="23"/>
    </row>
    <row r="20" spans="1:65" s="3" customFormat="1" ht="30" customHeight="1" thickBot="1">
      <c r="A20" s="27"/>
      <c r="B20" s="99" t="s">
        <v>35</v>
      </c>
      <c r="C20" s="100" t="s">
        <v>36</v>
      </c>
      <c r="D20" s="75">
        <v>1</v>
      </c>
      <c r="E20" s="101">
        <v>44834</v>
      </c>
      <c r="F20" s="101">
        <v>44834</v>
      </c>
      <c r="G20" s="102">
        <f t="shared" ref="G20" si="10">NETWORKDAYS(E20,F20)</f>
        <v>1</v>
      </c>
      <c r="H20" s="16"/>
      <c r="I20" s="16"/>
      <c r="J20" s="23"/>
      <c r="K20" s="23"/>
      <c r="L20" s="23"/>
      <c r="M20" s="23"/>
      <c r="N20" s="23"/>
      <c r="O20" s="23"/>
      <c r="P20" s="23"/>
      <c r="Q20" s="23"/>
      <c r="R20" s="23"/>
      <c r="S20" s="23"/>
      <c r="T20" s="23"/>
      <c r="U20" s="23"/>
      <c r="V20" s="24"/>
      <c r="W20" s="24"/>
      <c r="X20" s="23"/>
      <c r="Y20" s="23"/>
      <c r="Z20" s="23"/>
      <c r="AA20" s="23"/>
      <c r="AB20" s="23"/>
      <c r="AC20" s="23"/>
      <c r="AD20" s="23"/>
      <c r="AE20" s="23"/>
      <c r="AF20" s="23"/>
      <c r="AG20" s="23"/>
      <c r="AH20" s="23"/>
      <c r="AI20" s="23"/>
      <c r="AJ20" s="23"/>
      <c r="AK20" s="23"/>
      <c r="AL20" s="23"/>
      <c r="AM20" s="23"/>
      <c r="AN20" s="23"/>
      <c r="AO20" s="23"/>
      <c r="AP20" s="23"/>
      <c r="AQ20" s="23"/>
      <c r="AR20" s="23"/>
      <c r="AS20" s="23"/>
      <c r="AT20" s="23"/>
      <c r="AU20" s="23"/>
      <c r="AV20" s="23"/>
      <c r="AW20" s="23"/>
      <c r="AX20" s="23"/>
      <c r="AY20" s="23"/>
      <c r="AZ20" s="23"/>
      <c r="BA20" s="23"/>
      <c r="BB20" s="23"/>
      <c r="BC20" s="23"/>
      <c r="BD20" s="23"/>
      <c r="BE20" s="23"/>
      <c r="BF20" s="23"/>
      <c r="BG20" s="23"/>
      <c r="BH20" s="23"/>
      <c r="BI20" s="23"/>
      <c r="BJ20" s="23"/>
      <c r="BK20" s="23"/>
      <c r="BL20" s="23"/>
      <c r="BM20" s="23"/>
    </row>
    <row r="21" spans="1:65" s="3" customFormat="1" ht="30" customHeight="1" thickBot="1">
      <c r="A21" s="27"/>
      <c r="B21" s="99" t="s">
        <v>37</v>
      </c>
      <c r="C21" s="100" t="s">
        <v>36</v>
      </c>
      <c r="D21" s="75">
        <v>1</v>
      </c>
      <c r="E21" s="101">
        <v>44834</v>
      </c>
      <c r="F21" s="101">
        <v>44834</v>
      </c>
      <c r="G21" s="102">
        <f t="shared" ref="G21" si="11">NETWORKDAYS(E21,F21)</f>
        <v>1</v>
      </c>
      <c r="H21" s="16"/>
      <c r="I21" s="16"/>
      <c r="J21" s="23"/>
      <c r="K21" s="23"/>
      <c r="L21" s="23"/>
      <c r="M21" s="23"/>
      <c r="N21" s="23"/>
      <c r="O21" s="23"/>
      <c r="P21" s="23"/>
      <c r="Q21" s="23"/>
      <c r="R21" s="23"/>
      <c r="S21" s="23"/>
      <c r="T21" s="23"/>
      <c r="U21" s="23"/>
      <c r="V21" s="24"/>
      <c r="W21" s="24"/>
      <c r="X21" s="23"/>
      <c r="Y21" s="23"/>
      <c r="Z21" s="23"/>
      <c r="AA21" s="23"/>
      <c r="AB21" s="23"/>
      <c r="AC21" s="23"/>
      <c r="AD21" s="23"/>
      <c r="AE21" s="23"/>
      <c r="AF21" s="23"/>
      <c r="AG21" s="23"/>
      <c r="AH21" s="23"/>
      <c r="AI21" s="23"/>
      <c r="AJ21" s="23"/>
      <c r="AK21" s="23"/>
      <c r="AL21" s="23"/>
      <c r="AM21" s="23"/>
      <c r="AN21" s="23"/>
      <c r="AO21" s="23"/>
      <c r="AP21" s="23"/>
      <c r="AQ21" s="23"/>
      <c r="AR21" s="23"/>
      <c r="AS21" s="23"/>
      <c r="AT21" s="23"/>
      <c r="AU21" s="23"/>
      <c r="AV21" s="23"/>
      <c r="AW21" s="23"/>
      <c r="AX21" s="23"/>
      <c r="AY21" s="23"/>
      <c r="AZ21" s="23"/>
      <c r="BA21" s="23"/>
      <c r="BB21" s="23"/>
      <c r="BC21" s="23"/>
      <c r="BD21" s="23"/>
      <c r="BE21" s="23"/>
      <c r="BF21" s="23"/>
      <c r="BG21" s="23"/>
      <c r="BH21" s="23"/>
      <c r="BI21" s="23"/>
      <c r="BJ21" s="23"/>
      <c r="BK21" s="23"/>
      <c r="BL21" s="23"/>
      <c r="BM21" s="23"/>
    </row>
    <row r="22" spans="1:65" s="3" customFormat="1" ht="30" customHeight="1">
      <c r="A22" s="27"/>
      <c r="B22" s="118" t="s">
        <v>38</v>
      </c>
      <c r="C22" s="114"/>
      <c r="D22" s="115"/>
      <c r="E22" s="116"/>
      <c r="F22" s="116"/>
      <c r="G22" s="117"/>
      <c r="H22" s="16"/>
      <c r="I22" s="16"/>
      <c r="J22" s="23"/>
      <c r="K22" s="23"/>
      <c r="L22" s="23"/>
      <c r="M22" s="23"/>
      <c r="N22" s="23"/>
      <c r="O22" s="23"/>
      <c r="P22" s="23"/>
      <c r="Q22" s="23"/>
      <c r="R22" s="23"/>
      <c r="S22" s="23"/>
      <c r="T22" s="23"/>
      <c r="U22" s="23"/>
      <c r="V22" s="24"/>
      <c r="W22" s="24"/>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row>
    <row r="23" spans="1:65" s="3" customFormat="1" ht="30" customHeight="1">
      <c r="A23" s="27"/>
      <c r="B23" s="109" t="s">
        <v>39</v>
      </c>
      <c r="C23" s="110" t="s">
        <v>40</v>
      </c>
      <c r="D23" s="111">
        <v>0</v>
      </c>
      <c r="E23" s="112">
        <v>44845</v>
      </c>
      <c r="F23" s="112">
        <v>44845</v>
      </c>
      <c r="G23" s="113">
        <f t="shared" ref="G23" si="12">NETWORKDAYS(E23,F23)</f>
        <v>1</v>
      </c>
      <c r="H23" s="16"/>
      <c r="I23" s="16"/>
      <c r="J23" s="23"/>
      <c r="K23" s="23"/>
      <c r="L23" s="23"/>
      <c r="M23" s="23"/>
      <c r="N23" s="23"/>
      <c r="O23" s="23"/>
      <c r="P23" s="23"/>
      <c r="Q23" s="23"/>
      <c r="R23" s="23"/>
      <c r="S23" s="23"/>
      <c r="T23" s="23"/>
      <c r="U23" s="23"/>
      <c r="V23" s="24"/>
      <c r="W23" s="24"/>
      <c r="X23" s="23"/>
      <c r="Y23" s="23"/>
      <c r="Z23" s="23"/>
      <c r="AA23" s="23"/>
      <c r="AB23" s="23"/>
      <c r="AC23" s="23"/>
      <c r="AD23" s="23"/>
      <c r="AE23" s="23"/>
      <c r="AF23" s="23"/>
      <c r="AG23" s="23"/>
      <c r="AH23" s="23"/>
      <c r="AI23" s="23"/>
      <c r="AJ23" s="23"/>
      <c r="AK23" s="23"/>
      <c r="AL23" s="23"/>
      <c r="AM23" s="23"/>
      <c r="AN23" s="23"/>
      <c r="AO23" s="23"/>
      <c r="AP23" s="23"/>
      <c r="AQ23" s="23"/>
      <c r="AR23" s="23"/>
      <c r="AS23" s="23"/>
      <c r="AT23" s="23"/>
      <c r="AU23" s="23"/>
      <c r="AV23" s="23"/>
      <c r="AW23" s="23"/>
      <c r="AX23" s="23"/>
      <c r="AY23" s="23"/>
      <c r="AZ23" s="23"/>
      <c r="BA23" s="23"/>
      <c r="BB23" s="23"/>
      <c r="BC23" s="23"/>
      <c r="BD23" s="23"/>
      <c r="BE23" s="23"/>
      <c r="BF23" s="23"/>
      <c r="BG23" s="23"/>
      <c r="BH23" s="23"/>
      <c r="BI23" s="23"/>
      <c r="BJ23" s="23"/>
      <c r="BK23" s="23"/>
      <c r="BL23" s="23"/>
      <c r="BM23" s="23"/>
    </row>
    <row r="24" spans="1:65" s="3" customFormat="1" ht="30" customHeight="1">
      <c r="A24" s="27"/>
      <c r="B24" s="109" t="s">
        <v>41</v>
      </c>
      <c r="C24" s="110" t="s">
        <v>42</v>
      </c>
      <c r="D24" s="111">
        <v>0</v>
      </c>
      <c r="E24" s="112">
        <v>44855</v>
      </c>
      <c r="F24" s="112">
        <v>44855</v>
      </c>
      <c r="G24" s="113">
        <f t="shared" ref="G24" si="13">NETWORKDAYS(E24,F24)</f>
        <v>1</v>
      </c>
      <c r="H24" s="16"/>
      <c r="I24" s="16"/>
      <c r="J24" s="23"/>
      <c r="K24" s="23"/>
      <c r="L24" s="23"/>
      <c r="M24" s="23"/>
      <c r="N24" s="23"/>
      <c r="O24" s="23"/>
      <c r="P24" s="23"/>
      <c r="Q24" s="23"/>
      <c r="R24" s="23"/>
      <c r="S24" s="23"/>
      <c r="T24" s="23"/>
      <c r="U24" s="23"/>
      <c r="V24" s="24"/>
      <c r="W24" s="24"/>
      <c r="X24" s="23"/>
      <c r="Y24" s="23"/>
      <c r="Z24" s="23"/>
      <c r="AA24" s="23"/>
      <c r="AB24" s="23"/>
      <c r="AC24" s="23"/>
      <c r="AD24" s="23"/>
      <c r="AE24" s="23"/>
      <c r="AF24" s="23"/>
      <c r="AG24" s="23"/>
      <c r="AH24" s="23"/>
      <c r="AI24" s="23"/>
      <c r="AJ24" s="23"/>
      <c r="AK24" s="23"/>
      <c r="AL24" s="23"/>
      <c r="AM24" s="23"/>
      <c r="AN24" s="23"/>
      <c r="AO24" s="23"/>
      <c r="AP24" s="23"/>
      <c r="AQ24" s="23"/>
      <c r="AR24" s="23"/>
      <c r="AS24" s="23"/>
      <c r="AT24" s="23"/>
      <c r="AU24" s="23"/>
      <c r="AV24" s="23"/>
      <c r="AW24" s="23"/>
      <c r="AX24" s="23"/>
      <c r="AY24" s="23"/>
      <c r="AZ24" s="23"/>
      <c r="BA24" s="23"/>
      <c r="BB24" s="23"/>
      <c r="BC24" s="23"/>
      <c r="BD24" s="23"/>
      <c r="BE24" s="23"/>
      <c r="BF24" s="23"/>
      <c r="BG24" s="23"/>
      <c r="BH24" s="23"/>
      <c r="BI24" s="23"/>
      <c r="BJ24" s="23"/>
      <c r="BK24" s="23"/>
      <c r="BL24" s="23"/>
      <c r="BM24" s="23"/>
    </row>
    <row r="25" spans="1:65" s="3" customFormat="1" ht="30" customHeight="1" thickBot="1">
      <c r="A25" s="27" t="s">
        <v>43</v>
      </c>
      <c r="B25" s="45" t="s">
        <v>44</v>
      </c>
      <c r="C25" s="56"/>
      <c r="D25" s="46"/>
      <c r="E25" s="103"/>
      <c r="F25" s="47"/>
      <c r="G25" s="66"/>
      <c r="H25" s="16"/>
      <c r="I25" s="16" t="str">
        <f t="shared" ca="1" si="9"/>
        <v/>
      </c>
      <c r="J25" s="23"/>
      <c r="K25" s="23"/>
      <c r="L25" s="23"/>
      <c r="M25" s="23"/>
      <c r="N25" s="23"/>
      <c r="O25" s="23"/>
      <c r="P25" s="23"/>
      <c r="Q25" s="23"/>
      <c r="R25" s="23"/>
      <c r="S25" s="23"/>
      <c r="T25" s="23"/>
      <c r="U25" s="23"/>
      <c r="V25" s="23"/>
      <c r="W25" s="23"/>
      <c r="X25" s="23"/>
      <c r="Y25" s="23"/>
      <c r="Z25" s="23"/>
      <c r="AA25" s="23"/>
      <c r="AB25" s="23"/>
      <c r="AC25" s="23"/>
      <c r="AD25" s="23"/>
      <c r="AE25" s="23"/>
      <c r="AF25" s="23"/>
      <c r="AG25" s="23"/>
      <c r="AH25" s="23"/>
      <c r="AI25" s="23"/>
      <c r="AJ25" s="23"/>
      <c r="AK25" s="23"/>
      <c r="AL25" s="23"/>
      <c r="AM25" s="23"/>
      <c r="AN25" s="23"/>
      <c r="AO25" s="23"/>
      <c r="AP25" s="23"/>
      <c r="AQ25" s="23"/>
      <c r="AR25" s="23"/>
      <c r="AS25" s="23"/>
      <c r="AT25" s="23"/>
      <c r="AU25" s="23"/>
      <c r="AV25" s="23"/>
      <c r="AW25" s="23"/>
      <c r="AX25" s="23"/>
      <c r="AY25" s="23"/>
      <c r="AZ25" s="23"/>
      <c r="BA25" s="23"/>
      <c r="BB25" s="23"/>
      <c r="BC25" s="23"/>
      <c r="BD25" s="23"/>
      <c r="BE25" s="23"/>
      <c r="BF25" s="23"/>
      <c r="BG25" s="23"/>
      <c r="BH25" s="23"/>
      <c r="BI25" s="23"/>
      <c r="BJ25" s="23"/>
      <c r="BK25" s="23"/>
      <c r="BL25" s="23"/>
      <c r="BM25" s="23"/>
    </row>
    <row r="26" spans="1:65" s="3" customFormat="1" ht="30" customHeight="1" thickBot="1">
      <c r="A26" s="27"/>
      <c r="B26" s="76" t="s">
        <v>45</v>
      </c>
      <c r="C26" s="77" t="s">
        <v>36</v>
      </c>
      <c r="D26" s="48">
        <v>1</v>
      </c>
      <c r="E26" s="78">
        <v>44817</v>
      </c>
      <c r="F26" s="78">
        <v>44817</v>
      </c>
      <c r="G26" s="79">
        <f>NETWORKDAYS(E26,F26)</f>
        <v>1</v>
      </c>
      <c r="H26" s="16"/>
      <c r="I26" s="16">
        <f t="shared" ca="1" si="9"/>
        <v>1</v>
      </c>
      <c r="J26" s="23"/>
      <c r="K26" s="23"/>
      <c r="L26" s="23"/>
      <c r="M26" s="23"/>
      <c r="N26" s="23"/>
      <c r="O26" s="23"/>
      <c r="P26" s="23"/>
      <c r="Q26" s="23"/>
      <c r="R26" s="23"/>
      <c r="S26" s="23"/>
      <c r="T26" s="23"/>
      <c r="U26" s="23"/>
      <c r="V26" s="23"/>
      <c r="W26" s="23"/>
      <c r="X26" s="23"/>
      <c r="Y26" s="23"/>
      <c r="Z26" s="23"/>
      <c r="AA26" s="23"/>
      <c r="AB26" s="23"/>
      <c r="AC26" s="23"/>
      <c r="AD26" s="23"/>
      <c r="AE26" s="23"/>
      <c r="AF26" s="23"/>
      <c r="AG26" s="23"/>
      <c r="AH26" s="23"/>
      <c r="AI26" s="23"/>
      <c r="AJ26" s="23"/>
      <c r="AK26" s="23"/>
      <c r="AL26" s="23"/>
      <c r="AM26" s="23"/>
      <c r="AN26" s="23"/>
      <c r="AO26" s="23"/>
      <c r="AP26" s="23"/>
      <c r="AQ26" s="23"/>
      <c r="AR26" s="23"/>
      <c r="AS26" s="23"/>
      <c r="AT26" s="23"/>
      <c r="AU26" s="23"/>
      <c r="AV26" s="23"/>
      <c r="AW26" s="23"/>
      <c r="AX26" s="23"/>
      <c r="AY26" s="23"/>
      <c r="AZ26" s="23"/>
      <c r="BA26" s="23"/>
      <c r="BB26" s="23"/>
      <c r="BC26" s="23"/>
      <c r="BD26" s="23"/>
      <c r="BE26" s="23"/>
      <c r="BF26" s="23"/>
      <c r="BG26" s="23"/>
      <c r="BH26" s="23"/>
      <c r="BI26" s="23"/>
      <c r="BJ26" s="23"/>
      <c r="BK26" s="23"/>
      <c r="BL26" s="23"/>
      <c r="BM26" s="23"/>
    </row>
    <row r="27" spans="1:65" s="3" customFormat="1" ht="30" customHeight="1" thickBot="1">
      <c r="A27" s="27"/>
      <c r="B27" s="76" t="s">
        <v>46</v>
      </c>
      <c r="C27" s="77" t="s">
        <v>23</v>
      </c>
      <c r="D27" s="48">
        <v>0.6</v>
      </c>
      <c r="E27" s="78">
        <v>44818</v>
      </c>
      <c r="F27" s="78">
        <v>44834</v>
      </c>
      <c r="G27" s="79">
        <f t="shared" ref="G27:G38" si="14">NETWORKDAYS(E27,F27)</f>
        <v>13</v>
      </c>
      <c r="H27" s="16"/>
      <c r="I27" s="16"/>
      <c r="J27" s="23"/>
      <c r="K27" s="23"/>
      <c r="L27" s="23"/>
      <c r="M27" s="23"/>
      <c r="N27" s="23"/>
      <c r="O27" s="23"/>
      <c r="P27" s="23"/>
      <c r="Q27" s="23"/>
      <c r="R27" s="23"/>
      <c r="S27" s="23"/>
      <c r="T27" s="23"/>
      <c r="U27" s="23"/>
      <c r="V27" s="23"/>
      <c r="W27" s="23"/>
      <c r="X27" s="23"/>
      <c r="Y27" s="23"/>
      <c r="Z27" s="23"/>
      <c r="AA27" s="23"/>
      <c r="AB27" s="23"/>
      <c r="AC27" s="23"/>
      <c r="AD27" s="23"/>
      <c r="AE27" s="23"/>
      <c r="AF27" s="23"/>
      <c r="AG27" s="23"/>
      <c r="AH27" s="23"/>
      <c r="AI27" s="23"/>
      <c r="AJ27" s="23"/>
      <c r="AK27" s="23"/>
      <c r="AL27" s="23"/>
      <c r="AM27" s="23"/>
      <c r="AN27" s="23"/>
      <c r="AO27" s="23"/>
      <c r="AP27" s="23"/>
      <c r="AQ27" s="23"/>
      <c r="AR27" s="23"/>
      <c r="AS27" s="23"/>
      <c r="AT27" s="23"/>
      <c r="AU27" s="23"/>
      <c r="AV27" s="23"/>
      <c r="AW27" s="23"/>
      <c r="AX27" s="23"/>
      <c r="AY27" s="23"/>
      <c r="AZ27" s="23"/>
      <c r="BA27" s="23"/>
      <c r="BB27" s="23"/>
      <c r="BC27" s="23"/>
      <c r="BD27" s="23"/>
      <c r="BE27" s="23"/>
      <c r="BF27" s="23"/>
      <c r="BG27" s="23"/>
      <c r="BH27" s="23"/>
      <c r="BI27" s="23"/>
      <c r="BJ27" s="23"/>
      <c r="BK27" s="23"/>
      <c r="BL27" s="23"/>
      <c r="BM27" s="23"/>
    </row>
    <row r="28" spans="1:65" s="3" customFormat="1" ht="30" customHeight="1" thickBot="1">
      <c r="A28" s="27"/>
      <c r="B28" s="76" t="s">
        <v>47</v>
      </c>
      <c r="C28" s="77" t="s">
        <v>23</v>
      </c>
      <c r="D28" s="48">
        <v>0</v>
      </c>
      <c r="E28" s="78">
        <v>44853</v>
      </c>
      <c r="F28" s="78">
        <v>44858</v>
      </c>
      <c r="G28" s="79">
        <f t="shared" si="14"/>
        <v>4</v>
      </c>
      <c r="H28" s="16"/>
      <c r="I28" s="16"/>
      <c r="J28" s="23"/>
      <c r="K28" s="23"/>
      <c r="L28" s="23"/>
      <c r="M28" s="23"/>
      <c r="N28" s="23"/>
      <c r="O28" s="23"/>
      <c r="P28" s="23"/>
      <c r="Q28" s="23"/>
      <c r="R28" s="23"/>
      <c r="S28" s="23"/>
      <c r="T28" s="23"/>
      <c r="U28" s="23"/>
      <c r="V28" s="23"/>
      <c r="W28" s="23"/>
      <c r="X28" s="23"/>
      <c r="Y28" s="23"/>
      <c r="Z28" s="23"/>
      <c r="AA28" s="23"/>
      <c r="AB28" s="23"/>
      <c r="AC28" s="23"/>
      <c r="AD28" s="23"/>
      <c r="AE28" s="23"/>
      <c r="AF28" s="23"/>
      <c r="AG28" s="23"/>
      <c r="AH28" s="23"/>
      <c r="AI28" s="23"/>
      <c r="AJ28" s="23"/>
      <c r="AK28" s="23"/>
      <c r="AL28" s="23"/>
      <c r="AM28" s="23"/>
      <c r="AN28" s="23"/>
      <c r="AO28" s="23"/>
      <c r="AP28" s="23"/>
      <c r="AQ28" s="23"/>
      <c r="AR28" s="23"/>
      <c r="AS28" s="23"/>
      <c r="AT28" s="23"/>
      <c r="AU28" s="23"/>
      <c r="AV28" s="23"/>
      <c r="AW28" s="23"/>
      <c r="AX28" s="23"/>
      <c r="AY28" s="23"/>
      <c r="AZ28" s="23"/>
      <c r="BA28" s="23"/>
      <c r="BB28" s="23"/>
      <c r="BC28" s="23"/>
      <c r="BD28" s="23"/>
      <c r="BE28" s="23"/>
      <c r="BF28" s="23"/>
      <c r="BG28" s="23"/>
      <c r="BH28" s="23"/>
      <c r="BI28" s="23"/>
      <c r="BJ28" s="23"/>
      <c r="BK28" s="23"/>
      <c r="BL28" s="23"/>
      <c r="BM28" s="23"/>
    </row>
    <row r="29" spans="1:65" s="3" customFormat="1" ht="30" customHeight="1" thickBot="1">
      <c r="A29" s="27"/>
      <c r="B29" s="76" t="s">
        <v>48</v>
      </c>
      <c r="C29" s="77" t="s">
        <v>36</v>
      </c>
      <c r="D29" s="48">
        <v>0</v>
      </c>
      <c r="E29" s="78">
        <v>44844</v>
      </c>
      <c r="F29" s="78">
        <v>44844</v>
      </c>
      <c r="G29" s="79">
        <f t="shared" si="14"/>
        <v>1</v>
      </c>
      <c r="H29" s="16"/>
      <c r="I29" s="16"/>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row>
    <row r="30" spans="1:65" s="3" customFormat="1" ht="30" customHeight="1" thickBot="1">
      <c r="A30" s="27"/>
      <c r="B30" s="76" t="s">
        <v>49</v>
      </c>
      <c r="C30" s="77" t="s">
        <v>36</v>
      </c>
      <c r="D30" s="48">
        <v>0</v>
      </c>
      <c r="E30" s="78">
        <v>44859</v>
      </c>
      <c r="F30" s="78">
        <v>44859</v>
      </c>
      <c r="G30" s="79">
        <f t="shared" si="14"/>
        <v>1</v>
      </c>
      <c r="H30" s="16"/>
      <c r="I30" s="16"/>
      <c r="J30" s="23"/>
      <c r="K30" s="23"/>
      <c r="L30" s="23"/>
      <c r="M30" s="23"/>
      <c r="N30" s="23"/>
      <c r="O30" s="23"/>
      <c r="P30" s="23"/>
      <c r="Q30" s="23"/>
      <c r="R30" s="23"/>
      <c r="S30" s="23"/>
      <c r="T30" s="23"/>
      <c r="U30" s="23"/>
      <c r="V30" s="23"/>
      <c r="W30" s="23"/>
      <c r="X30" s="23"/>
      <c r="Y30" s="23"/>
      <c r="Z30" s="23"/>
      <c r="AA30" s="23"/>
      <c r="AB30" s="23"/>
      <c r="AC30" s="23"/>
      <c r="AD30" s="23"/>
      <c r="AE30" s="23"/>
      <c r="AF30" s="23"/>
      <c r="AG30" s="23"/>
      <c r="AH30" s="23"/>
      <c r="AI30" s="23"/>
      <c r="AJ30" s="23"/>
      <c r="AK30" s="23"/>
      <c r="AL30" s="23"/>
      <c r="AM30" s="23"/>
      <c r="AN30" s="23"/>
      <c r="AO30" s="23"/>
      <c r="AP30" s="23"/>
      <c r="AQ30" s="23"/>
      <c r="AR30" s="23"/>
      <c r="AS30" s="23"/>
      <c r="AT30" s="23"/>
      <c r="AU30" s="23"/>
      <c r="AV30" s="23"/>
      <c r="AW30" s="23"/>
      <c r="AX30" s="23"/>
      <c r="AY30" s="23"/>
      <c r="AZ30" s="23"/>
      <c r="BA30" s="23"/>
      <c r="BB30" s="23"/>
      <c r="BC30" s="23"/>
      <c r="BD30" s="23"/>
      <c r="BE30" s="23"/>
      <c r="BF30" s="23"/>
      <c r="BG30" s="23"/>
      <c r="BH30" s="23"/>
      <c r="BI30" s="23"/>
      <c r="BJ30" s="23"/>
      <c r="BK30" s="23"/>
      <c r="BL30" s="23"/>
      <c r="BM30" s="23"/>
    </row>
    <row r="31" spans="1:65" s="3" customFormat="1" ht="30" customHeight="1" thickBot="1">
      <c r="A31" s="27"/>
      <c r="B31" s="76" t="s">
        <v>50</v>
      </c>
      <c r="C31" s="77" t="s">
        <v>23</v>
      </c>
      <c r="D31" s="48">
        <v>0</v>
      </c>
      <c r="E31" s="78">
        <v>44860</v>
      </c>
      <c r="F31" s="78">
        <v>44860</v>
      </c>
      <c r="G31" s="79">
        <f t="shared" si="14"/>
        <v>1</v>
      </c>
      <c r="H31" s="16"/>
      <c r="I31" s="16"/>
      <c r="J31" s="23"/>
      <c r="K31" s="23"/>
      <c r="L31" s="23"/>
      <c r="M31" s="23"/>
      <c r="N31" s="23"/>
      <c r="O31" s="23"/>
      <c r="P31" s="23"/>
      <c r="Q31" s="23"/>
      <c r="R31" s="23"/>
      <c r="S31" s="23"/>
      <c r="T31" s="23"/>
      <c r="U31" s="23"/>
      <c r="V31" s="23"/>
      <c r="W31" s="23"/>
      <c r="X31" s="23"/>
      <c r="Y31" s="23"/>
      <c r="Z31" s="23"/>
      <c r="AA31" s="23"/>
      <c r="AB31" s="23"/>
      <c r="AC31" s="23"/>
      <c r="AD31" s="23"/>
      <c r="AE31" s="23"/>
      <c r="AF31" s="23"/>
      <c r="AG31" s="23"/>
      <c r="AH31" s="23"/>
      <c r="AI31" s="23"/>
      <c r="AJ31" s="23"/>
      <c r="AK31" s="23"/>
      <c r="AL31" s="23"/>
      <c r="AM31" s="23"/>
      <c r="AN31" s="23"/>
      <c r="AO31" s="23"/>
      <c r="AP31" s="23"/>
      <c r="AQ31" s="23"/>
      <c r="AR31" s="23"/>
      <c r="AS31" s="23"/>
      <c r="AT31" s="23"/>
      <c r="AU31" s="23"/>
      <c r="AV31" s="23"/>
      <c r="AW31" s="23"/>
      <c r="AX31" s="23"/>
      <c r="AY31" s="23"/>
      <c r="AZ31" s="23"/>
      <c r="BA31" s="23"/>
      <c r="BB31" s="23"/>
      <c r="BC31" s="23"/>
      <c r="BD31" s="23"/>
      <c r="BE31" s="23"/>
      <c r="BF31" s="23"/>
      <c r="BG31" s="23"/>
      <c r="BH31" s="23"/>
      <c r="BI31" s="23"/>
      <c r="BJ31" s="23"/>
      <c r="BK31" s="23"/>
      <c r="BL31" s="23"/>
      <c r="BM31" s="23"/>
    </row>
    <row r="32" spans="1:65" s="3" customFormat="1" ht="30" customHeight="1" thickBot="1">
      <c r="A32" s="27"/>
      <c r="B32" s="76" t="s">
        <v>51</v>
      </c>
      <c r="C32" s="77" t="s">
        <v>36</v>
      </c>
      <c r="D32" s="48">
        <v>0</v>
      </c>
      <c r="E32" s="78">
        <v>44866</v>
      </c>
      <c r="F32" s="78">
        <v>44866</v>
      </c>
      <c r="G32" s="79">
        <f t="shared" si="14"/>
        <v>1</v>
      </c>
      <c r="H32" s="16"/>
      <c r="I32" s="16"/>
      <c r="J32" s="23"/>
      <c r="K32" s="23"/>
      <c r="L32" s="23"/>
      <c r="M32" s="23"/>
      <c r="N32" s="23"/>
      <c r="O32" s="23"/>
      <c r="P32" s="23"/>
      <c r="Q32" s="23"/>
      <c r="R32" s="23"/>
      <c r="S32" s="23"/>
      <c r="T32" s="23"/>
      <c r="U32" s="23"/>
      <c r="V32" s="23"/>
      <c r="W32" s="23"/>
      <c r="X32" s="23"/>
      <c r="Y32" s="23"/>
      <c r="Z32" s="23"/>
      <c r="AA32" s="23"/>
      <c r="AB32" s="23"/>
      <c r="AC32" s="23"/>
      <c r="AD32" s="23"/>
      <c r="AE32" s="23"/>
      <c r="AF32" s="23"/>
      <c r="AG32" s="23"/>
      <c r="AH32" s="23"/>
      <c r="AI32" s="23"/>
      <c r="AJ32" s="23"/>
      <c r="AK32" s="23"/>
      <c r="AL32" s="23"/>
      <c r="AM32" s="23"/>
      <c r="AN32" s="23"/>
      <c r="AO32" s="23"/>
      <c r="AP32" s="23"/>
      <c r="AQ32" s="23"/>
      <c r="AR32" s="23"/>
      <c r="AS32" s="23"/>
      <c r="AT32" s="23"/>
      <c r="AU32" s="23"/>
      <c r="AV32" s="23"/>
      <c r="AW32" s="23"/>
      <c r="AX32" s="23"/>
      <c r="AY32" s="23"/>
      <c r="AZ32" s="23"/>
      <c r="BA32" s="23"/>
      <c r="BB32" s="23"/>
      <c r="BC32" s="23"/>
      <c r="BD32" s="23"/>
      <c r="BE32" s="23"/>
      <c r="BF32" s="23"/>
      <c r="BG32" s="23"/>
      <c r="BH32" s="23"/>
      <c r="BI32" s="23"/>
      <c r="BJ32" s="23"/>
      <c r="BK32" s="23"/>
      <c r="BL32" s="23"/>
      <c r="BM32" s="23"/>
    </row>
    <row r="33" spans="1:65" s="3" customFormat="1" ht="30" customHeight="1" thickBot="1">
      <c r="A33" s="27"/>
      <c r="B33" s="76" t="s">
        <v>52</v>
      </c>
      <c r="C33" s="77" t="s">
        <v>36</v>
      </c>
      <c r="D33" s="48">
        <v>0</v>
      </c>
      <c r="E33" s="78">
        <v>44860</v>
      </c>
      <c r="F33" s="78">
        <v>44860</v>
      </c>
      <c r="G33" s="79">
        <f t="shared" si="14"/>
        <v>1</v>
      </c>
      <c r="H33" s="16"/>
      <c r="I33" s="16">
        <f t="shared" ca="1" si="9"/>
        <v>1</v>
      </c>
      <c r="J33" s="23"/>
      <c r="K33" s="23"/>
      <c r="L33" s="23"/>
      <c r="M33" s="23"/>
      <c r="N33" s="23"/>
      <c r="O33" s="23"/>
      <c r="P33" s="23"/>
      <c r="Q33" s="23"/>
      <c r="R33" s="23"/>
      <c r="S33" s="23"/>
      <c r="T33" s="23"/>
      <c r="U33" s="23"/>
      <c r="V33" s="23"/>
      <c r="W33" s="23"/>
      <c r="X33" s="23"/>
      <c r="Y33" s="23"/>
      <c r="Z33" s="23"/>
      <c r="AA33" s="23"/>
      <c r="AB33" s="23"/>
      <c r="AC33" s="23"/>
      <c r="AD33" s="23"/>
      <c r="AE33" s="23"/>
      <c r="AF33" s="23"/>
      <c r="AG33" s="23"/>
      <c r="AH33" s="23"/>
      <c r="AI33" s="23"/>
      <c r="AJ33" s="23"/>
      <c r="AK33" s="23"/>
      <c r="AL33" s="23"/>
      <c r="AM33" s="23"/>
      <c r="AN33" s="23"/>
      <c r="AO33" s="23"/>
      <c r="AP33" s="23"/>
      <c r="AQ33" s="23"/>
      <c r="AR33" s="23"/>
      <c r="AS33" s="23"/>
      <c r="AT33" s="23"/>
      <c r="AU33" s="23"/>
      <c r="AV33" s="23"/>
      <c r="AW33" s="23"/>
      <c r="AX33" s="23"/>
      <c r="AY33" s="23"/>
      <c r="AZ33" s="23"/>
      <c r="BA33" s="23"/>
      <c r="BB33" s="23"/>
      <c r="BC33" s="23"/>
      <c r="BD33" s="23"/>
      <c r="BE33" s="23"/>
      <c r="BF33" s="23"/>
      <c r="BG33" s="23"/>
      <c r="BH33" s="23"/>
      <c r="BI33" s="23"/>
      <c r="BJ33" s="23"/>
      <c r="BK33" s="23"/>
      <c r="BL33" s="23"/>
      <c r="BM33" s="23"/>
    </row>
    <row r="34" spans="1:65" s="3" customFormat="1" ht="30" customHeight="1" thickBot="1">
      <c r="A34" s="27"/>
      <c r="B34" s="76" t="s">
        <v>53</v>
      </c>
      <c r="C34" s="77" t="s">
        <v>36</v>
      </c>
      <c r="D34" s="48">
        <v>0</v>
      </c>
      <c r="E34" s="78">
        <v>44862</v>
      </c>
      <c r="F34" s="78">
        <v>44862</v>
      </c>
      <c r="G34" s="79">
        <f t="shared" si="14"/>
        <v>1</v>
      </c>
      <c r="H34" s="16"/>
      <c r="I34" s="16">
        <f t="shared" ca="1" si="9"/>
        <v>1</v>
      </c>
      <c r="J34" s="23"/>
      <c r="K34" s="23"/>
      <c r="L34" s="23"/>
      <c r="M34" s="23"/>
      <c r="N34" s="23"/>
      <c r="O34" s="23"/>
      <c r="P34" s="23"/>
      <c r="Q34" s="23"/>
      <c r="R34" s="23"/>
      <c r="S34" s="23"/>
      <c r="T34" s="23"/>
      <c r="U34" s="23"/>
      <c r="V34" s="23"/>
      <c r="W34" s="23"/>
      <c r="X34" s="23"/>
      <c r="Y34" s="23"/>
      <c r="Z34" s="23"/>
      <c r="AA34" s="23"/>
      <c r="AB34" s="23"/>
      <c r="AC34" s="23"/>
      <c r="AD34" s="23"/>
      <c r="AE34" s="23"/>
      <c r="AF34" s="23"/>
      <c r="AG34" s="23"/>
      <c r="AH34" s="23"/>
      <c r="AI34" s="23"/>
      <c r="AJ34" s="23"/>
      <c r="AK34" s="23"/>
      <c r="AL34" s="23"/>
      <c r="AM34" s="23"/>
      <c r="AN34" s="23"/>
      <c r="AO34" s="23"/>
      <c r="AP34" s="23"/>
      <c r="AQ34" s="23"/>
      <c r="AR34" s="23"/>
      <c r="AS34" s="23"/>
      <c r="AT34" s="23"/>
      <c r="AU34" s="23"/>
      <c r="AV34" s="23"/>
      <c r="AW34" s="23"/>
      <c r="AX34" s="23"/>
      <c r="AY34" s="23"/>
      <c r="AZ34" s="23"/>
      <c r="BA34" s="23"/>
      <c r="BB34" s="23"/>
      <c r="BC34" s="23"/>
      <c r="BD34" s="23"/>
      <c r="BE34" s="23"/>
      <c r="BF34" s="23"/>
      <c r="BG34" s="23"/>
      <c r="BH34" s="23"/>
      <c r="BI34" s="23"/>
      <c r="BJ34" s="23"/>
      <c r="BK34" s="23"/>
      <c r="BL34" s="23"/>
      <c r="BM34" s="23"/>
    </row>
    <row r="35" spans="1:65" s="3" customFormat="1" ht="30" customHeight="1" thickBot="1">
      <c r="A35" s="27"/>
      <c r="B35" s="76" t="s">
        <v>54</v>
      </c>
      <c r="C35" s="77" t="s">
        <v>36</v>
      </c>
      <c r="D35" s="48">
        <v>0</v>
      </c>
      <c r="E35" s="78">
        <v>44860</v>
      </c>
      <c r="F35" s="78">
        <v>44860</v>
      </c>
      <c r="G35" s="79">
        <f t="shared" si="14"/>
        <v>1</v>
      </c>
      <c r="H35" s="16"/>
      <c r="I35" s="16">
        <f t="shared" ca="1" si="9"/>
        <v>1</v>
      </c>
      <c r="J35" s="23"/>
      <c r="K35" s="23"/>
      <c r="L35" s="23"/>
      <c r="M35" s="23"/>
      <c r="N35" s="23"/>
      <c r="O35" s="23"/>
      <c r="P35" s="23"/>
      <c r="Q35" s="23"/>
      <c r="R35" s="23"/>
      <c r="S35" s="23"/>
      <c r="T35" s="23"/>
      <c r="U35" s="23"/>
      <c r="V35" s="23"/>
      <c r="W35" s="23"/>
      <c r="X35" s="23"/>
      <c r="Y35" s="23"/>
      <c r="Z35" s="23"/>
      <c r="AA35" s="23"/>
      <c r="AB35" s="23"/>
      <c r="AC35" s="23"/>
      <c r="AD35" s="23"/>
      <c r="AE35" s="23"/>
      <c r="AF35" s="23"/>
      <c r="AG35" s="23"/>
      <c r="AH35" s="23"/>
      <c r="AI35" s="23"/>
      <c r="AJ35" s="23"/>
      <c r="AK35" s="23"/>
      <c r="AL35" s="23"/>
      <c r="AM35" s="23"/>
      <c r="AN35" s="23"/>
      <c r="AO35" s="23"/>
      <c r="AP35" s="23"/>
      <c r="AQ35" s="23"/>
      <c r="AR35" s="23"/>
      <c r="AS35" s="23"/>
      <c r="AT35" s="23"/>
      <c r="AU35" s="23"/>
      <c r="AV35" s="23"/>
      <c r="AW35" s="23"/>
      <c r="AX35" s="23"/>
      <c r="AY35" s="23"/>
      <c r="AZ35" s="23"/>
      <c r="BA35" s="23"/>
      <c r="BB35" s="23"/>
      <c r="BC35" s="23"/>
      <c r="BD35" s="23"/>
      <c r="BE35" s="23"/>
      <c r="BF35" s="23"/>
      <c r="BG35" s="23"/>
      <c r="BH35" s="23"/>
      <c r="BI35" s="23"/>
      <c r="BJ35" s="23"/>
      <c r="BK35" s="23"/>
      <c r="BL35" s="23"/>
      <c r="BM35" s="23"/>
    </row>
    <row r="36" spans="1:65" s="3" customFormat="1" ht="30" customHeight="1" thickBot="1">
      <c r="A36" s="27"/>
      <c r="B36" s="76" t="s">
        <v>55</v>
      </c>
      <c r="C36" s="77" t="s">
        <v>23</v>
      </c>
      <c r="D36" s="48">
        <v>0</v>
      </c>
      <c r="E36" s="78">
        <v>44862</v>
      </c>
      <c r="F36" s="78">
        <v>44862</v>
      </c>
      <c r="G36" s="79">
        <f t="shared" si="14"/>
        <v>1</v>
      </c>
      <c r="H36" s="16"/>
      <c r="I36" s="16"/>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row>
    <row r="37" spans="1:65" s="3" customFormat="1" ht="30" customHeight="1" thickBot="1">
      <c r="A37" s="27"/>
      <c r="B37" s="60" t="s">
        <v>56</v>
      </c>
      <c r="C37" s="61" t="s">
        <v>29</v>
      </c>
      <c r="D37" s="62"/>
      <c r="E37" s="63">
        <v>44862</v>
      </c>
      <c r="F37" s="63">
        <v>44862</v>
      </c>
      <c r="G37" s="80">
        <f t="shared" si="14"/>
        <v>1</v>
      </c>
      <c r="H37" s="16"/>
      <c r="I37" s="16"/>
      <c r="J37" s="23"/>
      <c r="K37" s="23"/>
      <c r="L37" s="23"/>
      <c r="M37" s="23"/>
      <c r="N37" s="23"/>
      <c r="O37" s="23"/>
      <c r="P37" s="23"/>
      <c r="Q37" s="23"/>
      <c r="R37" s="23"/>
      <c r="S37" s="23"/>
      <c r="T37" s="23"/>
      <c r="U37" s="23"/>
      <c r="V37" s="23"/>
      <c r="W37" s="23"/>
      <c r="X37" s="23"/>
      <c r="Y37" s="23"/>
      <c r="Z37" s="23"/>
      <c r="AA37" s="23"/>
      <c r="AB37" s="23"/>
      <c r="AC37" s="23"/>
      <c r="AD37" s="23"/>
      <c r="AE37" s="23"/>
      <c r="AF37" s="23"/>
      <c r="AG37" s="23"/>
      <c r="AH37" s="23"/>
      <c r="AI37" s="23"/>
      <c r="AJ37" s="23"/>
      <c r="AK37" s="23"/>
      <c r="AL37" s="23"/>
      <c r="AM37" s="23"/>
      <c r="AN37" s="23"/>
      <c r="AO37" s="23"/>
      <c r="AP37" s="23"/>
      <c r="AQ37" s="23"/>
      <c r="AR37" s="23"/>
      <c r="AS37" s="23"/>
      <c r="AT37" s="23"/>
      <c r="AU37" s="23"/>
      <c r="AV37" s="23"/>
      <c r="AW37" s="23"/>
      <c r="AX37" s="23"/>
      <c r="AY37" s="23"/>
      <c r="AZ37" s="23"/>
      <c r="BA37" s="23"/>
      <c r="BB37" s="23"/>
      <c r="BC37" s="23"/>
      <c r="BD37" s="23"/>
      <c r="BE37" s="23"/>
      <c r="BF37" s="23"/>
      <c r="BG37" s="23"/>
      <c r="BH37" s="23"/>
      <c r="BI37" s="23"/>
      <c r="BJ37" s="23"/>
      <c r="BK37" s="23"/>
      <c r="BL37" s="23"/>
      <c r="BM37" s="23"/>
    </row>
    <row r="38" spans="1:65" s="3" customFormat="1" ht="30" customHeight="1" thickBot="1">
      <c r="A38" s="27"/>
      <c r="B38" s="60" t="s">
        <v>57</v>
      </c>
      <c r="C38" s="61" t="s">
        <v>58</v>
      </c>
      <c r="D38" s="62"/>
      <c r="E38" s="63">
        <v>44844</v>
      </c>
      <c r="F38" s="63">
        <v>44844</v>
      </c>
      <c r="G38" s="80">
        <f t="shared" si="14"/>
        <v>1</v>
      </c>
      <c r="H38" s="16"/>
      <c r="I38" s="16"/>
      <c r="J38" s="23"/>
      <c r="K38" s="23"/>
      <c r="L38" s="23"/>
      <c r="M38" s="23"/>
      <c r="N38" s="23"/>
      <c r="O38" s="23"/>
      <c r="P38" s="23"/>
      <c r="Q38" s="23"/>
      <c r="R38" s="23"/>
      <c r="S38" s="23"/>
      <c r="T38" s="23"/>
      <c r="U38" s="23"/>
      <c r="V38" s="23"/>
      <c r="W38" s="23"/>
      <c r="X38" s="23"/>
      <c r="Y38" s="23"/>
      <c r="Z38" s="23"/>
      <c r="AA38" s="23"/>
      <c r="AB38" s="23"/>
      <c r="AC38" s="23"/>
      <c r="AD38" s="23"/>
      <c r="AE38" s="23"/>
      <c r="AF38" s="23"/>
      <c r="AG38" s="23"/>
      <c r="AH38" s="23"/>
      <c r="AI38" s="23"/>
      <c r="AJ38" s="23"/>
      <c r="AK38" s="23"/>
      <c r="AL38" s="23"/>
      <c r="AM38" s="23"/>
      <c r="AN38" s="23"/>
      <c r="AO38" s="23"/>
      <c r="AP38" s="23"/>
      <c r="AQ38" s="23"/>
      <c r="AR38" s="23"/>
      <c r="AS38" s="23"/>
      <c r="AT38" s="23"/>
      <c r="AU38" s="23"/>
      <c r="AV38" s="23"/>
      <c r="AW38" s="23"/>
      <c r="AX38" s="23"/>
      <c r="AY38" s="23"/>
      <c r="AZ38" s="23"/>
      <c r="BA38" s="23"/>
      <c r="BB38" s="23"/>
      <c r="BC38" s="23"/>
      <c r="BD38" s="23"/>
      <c r="BE38" s="23"/>
      <c r="BF38" s="23"/>
      <c r="BG38" s="23"/>
      <c r="BH38" s="23"/>
      <c r="BI38" s="23"/>
      <c r="BJ38" s="23"/>
      <c r="BK38" s="23"/>
      <c r="BL38" s="23"/>
      <c r="BM38" s="23"/>
    </row>
    <row r="39" spans="1:65" s="3" customFormat="1" ht="30" customHeight="1" thickBot="1">
      <c r="A39" s="27" t="s">
        <v>43</v>
      </c>
      <c r="B39" s="51" t="s">
        <v>59</v>
      </c>
      <c r="C39" s="57"/>
      <c r="D39" s="52"/>
      <c r="E39" s="104"/>
      <c r="F39" s="53"/>
      <c r="G39" s="67"/>
      <c r="H39" s="16"/>
      <c r="I39" s="16" t="str">
        <f t="shared" ca="1" si="9"/>
        <v/>
      </c>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row>
    <row r="40" spans="1:65" s="3" customFormat="1" ht="30" customHeight="1" thickBot="1">
      <c r="A40" s="27"/>
      <c r="B40" s="105" t="s">
        <v>60</v>
      </c>
      <c r="C40" s="106" t="s">
        <v>36</v>
      </c>
      <c r="D40" s="54">
        <v>0</v>
      </c>
      <c r="E40" s="107">
        <v>44867</v>
      </c>
      <c r="F40" s="107">
        <v>44867</v>
      </c>
      <c r="G40" s="108">
        <f>NETWORKDAYS(E40,F40)</f>
        <v>1</v>
      </c>
      <c r="H40" s="16"/>
      <c r="I40" s="16">
        <f t="shared" ca="1" si="9"/>
        <v>1</v>
      </c>
      <c r="J40" s="23"/>
      <c r="K40" s="23"/>
      <c r="L40" s="23"/>
      <c r="M40" s="23"/>
      <c r="N40" s="23"/>
      <c r="O40" s="23"/>
      <c r="P40" s="23"/>
      <c r="Q40" s="23"/>
      <c r="R40" s="23"/>
      <c r="S40" s="23"/>
      <c r="T40" s="23"/>
      <c r="U40" s="23"/>
      <c r="V40" s="23"/>
      <c r="W40" s="23"/>
      <c r="X40" s="23"/>
      <c r="Y40" s="23"/>
      <c r="Z40" s="23"/>
      <c r="AA40" s="23"/>
      <c r="AB40" s="23"/>
      <c r="AC40" s="23"/>
      <c r="AD40" s="23"/>
      <c r="AE40" s="23"/>
      <c r="AF40" s="23"/>
      <c r="AG40" s="23"/>
      <c r="AH40" s="23"/>
      <c r="AI40" s="23"/>
      <c r="AJ40" s="23"/>
      <c r="AK40" s="23"/>
      <c r="AL40" s="23"/>
      <c r="AM40" s="23"/>
      <c r="AN40" s="23"/>
      <c r="AO40" s="23"/>
      <c r="AP40" s="23"/>
      <c r="AQ40" s="23"/>
      <c r="AR40" s="23"/>
      <c r="AS40" s="23"/>
      <c r="AT40" s="23"/>
      <c r="AU40" s="23"/>
      <c r="AV40" s="23"/>
      <c r="AW40" s="23"/>
      <c r="AX40" s="23"/>
      <c r="AY40" s="23"/>
      <c r="AZ40" s="23"/>
      <c r="BA40" s="23"/>
      <c r="BB40" s="23"/>
      <c r="BC40" s="23"/>
      <c r="BD40" s="23"/>
      <c r="BE40" s="23"/>
      <c r="BF40" s="23"/>
      <c r="BG40" s="23"/>
      <c r="BH40" s="23"/>
      <c r="BI40" s="23"/>
      <c r="BJ40" s="23"/>
      <c r="BK40" s="23"/>
      <c r="BL40" s="23"/>
      <c r="BM40" s="23"/>
    </row>
    <row r="41" spans="1:65" s="3" customFormat="1" ht="33.950000000000003" customHeight="1" thickBot="1">
      <c r="A41" s="27"/>
      <c r="B41" s="122" t="s">
        <v>61</v>
      </c>
      <c r="C41" s="123"/>
      <c r="D41" s="123"/>
      <c r="E41" s="123"/>
      <c r="F41" s="123"/>
      <c r="G41" s="123"/>
      <c r="H41" s="16"/>
      <c r="I41" s="16"/>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row>
    <row r="42" spans="1:65" s="3" customFormat="1" ht="30" customHeight="1" thickBot="1">
      <c r="A42" s="27"/>
      <c r="B42" s="73" t="s">
        <v>62</v>
      </c>
      <c r="C42" s="106" t="s">
        <v>29</v>
      </c>
      <c r="D42" s="54">
        <v>0</v>
      </c>
      <c r="E42" s="107">
        <v>44868</v>
      </c>
      <c r="F42" s="107">
        <v>44868</v>
      </c>
      <c r="G42" s="108">
        <f t="shared" ref="G42:G45" si="15">NETWORKDAYS(E42,F42)</f>
        <v>1</v>
      </c>
      <c r="H42" s="16"/>
      <c r="I42" s="16"/>
      <c r="J42" s="23"/>
      <c r="K42" s="23"/>
      <c r="L42" s="23"/>
      <c r="M42" s="23"/>
      <c r="N42" s="23"/>
      <c r="O42" s="23"/>
      <c r="P42" s="23"/>
      <c r="Q42" s="23"/>
      <c r="R42" s="23"/>
      <c r="S42" s="23"/>
      <c r="T42" s="23"/>
      <c r="U42" s="23"/>
      <c r="V42" s="23"/>
      <c r="W42" s="23"/>
      <c r="X42" s="23"/>
      <c r="Y42" s="23"/>
      <c r="Z42" s="23"/>
      <c r="AA42" s="23"/>
      <c r="AB42" s="23"/>
      <c r="AC42" s="23"/>
      <c r="AD42" s="23"/>
      <c r="AE42" s="23"/>
      <c r="AF42" s="23"/>
      <c r="AG42" s="23"/>
      <c r="AH42" s="23"/>
      <c r="AI42" s="23"/>
      <c r="AJ42" s="23"/>
      <c r="AK42" s="23"/>
      <c r="AL42" s="23"/>
      <c r="AM42" s="23"/>
      <c r="AN42" s="23"/>
      <c r="AO42" s="23"/>
      <c r="AP42" s="23"/>
      <c r="AQ42" s="23"/>
      <c r="AR42" s="23"/>
      <c r="AS42" s="23"/>
      <c r="AT42" s="23"/>
      <c r="AU42" s="23"/>
      <c r="AV42" s="23"/>
      <c r="AW42" s="23"/>
      <c r="AX42" s="23"/>
      <c r="AY42" s="23"/>
      <c r="AZ42" s="23"/>
      <c r="BA42" s="23"/>
      <c r="BB42" s="23"/>
      <c r="BC42" s="23"/>
      <c r="BD42" s="23"/>
      <c r="BE42" s="23"/>
      <c r="BF42" s="23"/>
      <c r="BG42" s="23"/>
      <c r="BH42" s="23"/>
      <c r="BI42" s="23"/>
      <c r="BJ42" s="23"/>
      <c r="BK42" s="23"/>
      <c r="BL42" s="23"/>
      <c r="BM42" s="23"/>
    </row>
    <row r="43" spans="1:65" s="3" customFormat="1" ht="30" customHeight="1" thickBot="1">
      <c r="A43" s="27"/>
      <c r="B43" s="105" t="s">
        <v>63</v>
      </c>
      <c r="C43" s="106" t="s">
        <v>58</v>
      </c>
      <c r="D43" s="54">
        <v>0</v>
      </c>
      <c r="E43" s="107">
        <v>44869</v>
      </c>
      <c r="F43" s="107">
        <v>44869</v>
      </c>
      <c r="G43" s="108">
        <f t="shared" si="15"/>
        <v>1</v>
      </c>
      <c r="H43" s="16"/>
      <c r="I43" s="16"/>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row>
    <row r="44" spans="1:65" s="3" customFormat="1" ht="51.75" customHeight="1" thickBot="1">
      <c r="A44" s="27"/>
      <c r="B44" s="122" t="s">
        <v>64</v>
      </c>
      <c r="C44" s="123"/>
      <c r="D44" s="123"/>
      <c r="E44" s="123"/>
      <c r="F44" s="123"/>
      <c r="G44" s="123"/>
      <c r="H44" s="16"/>
      <c r="I44" s="16"/>
      <c r="J44" s="23"/>
      <c r="K44" s="23"/>
      <c r="L44" s="23"/>
      <c r="M44" s="23"/>
      <c r="N44" s="23"/>
      <c r="O44" s="23"/>
      <c r="P44" s="23"/>
      <c r="Q44" s="23"/>
      <c r="R44" s="23"/>
      <c r="S44" s="23"/>
      <c r="T44" s="23"/>
      <c r="U44" s="23"/>
      <c r="V44" s="23"/>
      <c r="W44" s="23"/>
      <c r="X44" s="23"/>
      <c r="Y44" s="23"/>
      <c r="Z44" s="23"/>
      <c r="AA44" s="23"/>
      <c r="AB44" s="23"/>
      <c r="AC44" s="23"/>
      <c r="AD44" s="23"/>
      <c r="AE44" s="23"/>
      <c r="AF44" s="23"/>
      <c r="AG44" s="23"/>
      <c r="AH44" s="23"/>
      <c r="AI44" s="23"/>
      <c r="AJ44" s="23"/>
      <c r="AK44" s="23"/>
      <c r="AL44" s="23"/>
      <c r="AM44" s="23"/>
      <c r="AN44" s="23"/>
      <c r="AO44" s="23"/>
      <c r="AP44" s="23"/>
      <c r="AQ44" s="23"/>
      <c r="AR44" s="23"/>
      <c r="AS44" s="23"/>
      <c r="AT44" s="23"/>
      <c r="AU44" s="23"/>
      <c r="AV44" s="23"/>
      <c r="AW44" s="23"/>
      <c r="AX44" s="23"/>
      <c r="AY44" s="23"/>
      <c r="AZ44" s="23"/>
      <c r="BA44" s="23"/>
      <c r="BB44" s="23"/>
      <c r="BC44" s="23"/>
      <c r="BD44" s="23"/>
      <c r="BE44" s="23"/>
      <c r="BF44" s="23"/>
      <c r="BG44" s="23"/>
      <c r="BH44" s="23"/>
      <c r="BI44" s="23"/>
      <c r="BJ44" s="23"/>
      <c r="BK44" s="23"/>
      <c r="BL44" s="23"/>
      <c r="BM44" s="23"/>
    </row>
    <row r="45" spans="1:65" s="3" customFormat="1" ht="51.75" customHeight="1" thickBot="1">
      <c r="A45" s="27"/>
      <c r="B45" s="73" t="s">
        <v>65</v>
      </c>
      <c r="C45" s="106" t="s">
        <v>29</v>
      </c>
      <c r="D45" s="54">
        <v>0</v>
      </c>
      <c r="E45" s="107">
        <v>44872</v>
      </c>
      <c r="F45" s="107">
        <v>44872</v>
      </c>
      <c r="G45" s="108">
        <f t="shared" si="15"/>
        <v>1</v>
      </c>
      <c r="H45" s="16"/>
      <c r="I45" s="16">
        <f t="shared" ca="1" si="9"/>
        <v>1</v>
      </c>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row>
    <row r="46" spans="1:65" s="3" customFormat="1" ht="30" customHeight="1" thickBot="1">
      <c r="A46" s="27"/>
      <c r="B46" s="105" t="s">
        <v>66</v>
      </c>
      <c r="C46" s="106" t="s">
        <v>58</v>
      </c>
      <c r="D46" s="54">
        <v>0</v>
      </c>
      <c r="E46" s="107">
        <v>44867</v>
      </c>
      <c r="F46" s="107">
        <v>44867</v>
      </c>
      <c r="G46" s="108">
        <f t="shared" ref="G46" si="16">NETWORKDAYS(E46,F46)</f>
        <v>1</v>
      </c>
      <c r="H46" s="16"/>
      <c r="I46" s="16"/>
      <c r="J46" s="23"/>
      <c r="K46" s="23"/>
      <c r="L46" s="23"/>
      <c r="M46" s="23"/>
      <c r="N46" s="23"/>
      <c r="O46" s="23"/>
      <c r="P46" s="23"/>
      <c r="Q46" s="23"/>
      <c r="R46" s="23"/>
      <c r="S46" s="23"/>
      <c r="T46" s="23"/>
      <c r="U46" s="23"/>
      <c r="V46" s="23"/>
      <c r="W46" s="23"/>
      <c r="X46" s="23"/>
      <c r="Y46" s="23"/>
      <c r="Z46" s="23"/>
      <c r="AA46" s="23"/>
      <c r="AB46" s="23"/>
      <c r="AC46" s="23"/>
      <c r="AD46" s="23"/>
      <c r="AE46" s="23"/>
      <c r="AF46" s="23"/>
      <c r="AG46" s="23"/>
      <c r="AH46" s="23"/>
      <c r="AI46" s="23"/>
      <c r="AJ46" s="23"/>
      <c r="AK46" s="23"/>
      <c r="AL46" s="23"/>
      <c r="AM46" s="23"/>
      <c r="AN46" s="23"/>
      <c r="AO46" s="23"/>
      <c r="AP46" s="23"/>
      <c r="AQ46" s="23"/>
      <c r="AR46" s="23"/>
      <c r="AS46" s="23"/>
      <c r="AT46" s="23"/>
      <c r="AU46" s="23"/>
      <c r="AV46" s="23"/>
      <c r="AW46" s="23"/>
      <c r="AX46" s="23"/>
      <c r="AY46" s="23"/>
      <c r="AZ46" s="23"/>
      <c r="BA46" s="23"/>
      <c r="BB46" s="23"/>
      <c r="BC46" s="23"/>
      <c r="BD46" s="23"/>
      <c r="BE46" s="23"/>
      <c r="BF46" s="23"/>
      <c r="BG46" s="23"/>
      <c r="BH46" s="23"/>
      <c r="BI46" s="23"/>
      <c r="BJ46" s="23"/>
      <c r="BK46" s="23"/>
      <c r="BL46" s="23"/>
      <c r="BM46" s="23"/>
    </row>
    <row r="47" spans="1:65" s="3" customFormat="1" ht="30.95" customHeight="1" thickBot="1">
      <c r="A47" s="27"/>
      <c r="B47" s="122" t="s">
        <v>67</v>
      </c>
      <c r="C47" s="123"/>
      <c r="D47" s="123"/>
      <c r="E47" s="123"/>
      <c r="F47" s="123"/>
      <c r="G47" s="123"/>
      <c r="H47" s="16"/>
      <c r="I47" s="16"/>
      <c r="J47" s="23"/>
      <c r="K47" s="23"/>
      <c r="L47" s="23"/>
      <c r="M47" s="23"/>
      <c r="N47" s="23"/>
      <c r="O47" s="23"/>
      <c r="P47" s="23"/>
      <c r="Q47" s="23"/>
      <c r="R47" s="23"/>
      <c r="S47" s="23"/>
      <c r="T47" s="23"/>
      <c r="U47" s="23"/>
      <c r="V47" s="23"/>
      <c r="W47" s="23"/>
      <c r="X47" s="23"/>
      <c r="Y47" s="23"/>
      <c r="Z47" s="23"/>
      <c r="AA47" s="23"/>
      <c r="AB47" s="23"/>
      <c r="AC47" s="23"/>
      <c r="AD47" s="23"/>
      <c r="AE47" s="23"/>
      <c r="AF47" s="23"/>
      <c r="AG47" s="23"/>
      <c r="AH47" s="23"/>
      <c r="AI47" s="23"/>
      <c r="AJ47" s="23"/>
      <c r="AK47" s="23"/>
      <c r="AL47" s="23"/>
      <c r="AM47" s="23"/>
      <c r="AN47" s="23"/>
      <c r="AO47" s="23"/>
      <c r="AP47" s="23"/>
      <c r="AQ47" s="23"/>
      <c r="AR47" s="23"/>
      <c r="AS47" s="23"/>
      <c r="AT47" s="23"/>
      <c r="AU47" s="23"/>
      <c r="AV47" s="23"/>
      <c r="AW47" s="23"/>
      <c r="AX47" s="23"/>
      <c r="AY47" s="23"/>
      <c r="AZ47" s="23"/>
      <c r="BA47" s="23"/>
      <c r="BB47" s="23"/>
      <c r="BC47" s="23"/>
      <c r="BD47" s="23"/>
      <c r="BE47" s="23"/>
      <c r="BF47" s="23"/>
      <c r="BG47" s="23"/>
      <c r="BH47" s="23"/>
      <c r="BI47" s="23"/>
      <c r="BJ47" s="23"/>
      <c r="BK47" s="23"/>
      <c r="BL47" s="23"/>
      <c r="BM47" s="23"/>
    </row>
    <row r="48" spans="1:65" s="3" customFormat="1" ht="30" customHeight="1" thickBot="1">
      <c r="A48" s="27"/>
      <c r="B48" s="73" t="s">
        <v>68</v>
      </c>
      <c r="C48" s="106" t="s">
        <v>29</v>
      </c>
      <c r="D48" s="54">
        <v>0</v>
      </c>
      <c r="E48" s="107">
        <v>44867</v>
      </c>
      <c r="F48" s="107">
        <v>44867</v>
      </c>
      <c r="G48" s="108">
        <f t="shared" ref="G48" si="17">NETWORKDAYS(E48,F48)</f>
        <v>1</v>
      </c>
      <c r="H48" s="16"/>
      <c r="I48" s="16">
        <f t="shared" ca="1" si="9"/>
        <v>1</v>
      </c>
      <c r="J48" s="23"/>
      <c r="K48" s="23"/>
      <c r="L48" s="23"/>
      <c r="M48" s="23"/>
      <c r="N48" s="23"/>
      <c r="O48" s="23"/>
      <c r="P48" s="23"/>
      <c r="Q48" s="23"/>
      <c r="R48" s="23"/>
      <c r="S48" s="23"/>
      <c r="T48" s="23"/>
      <c r="U48" s="23"/>
      <c r="V48" s="23"/>
      <c r="W48" s="23"/>
      <c r="X48" s="23"/>
      <c r="Y48" s="23"/>
      <c r="Z48" s="23"/>
      <c r="AA48" s="23"/>
      <c r="AB48" s="23"/>
      <c r="AC48" s="23"/>
      <c r="AD48" s="23"/>
      <c r="AE48" s="23"/>
      <c r="AF48" s="23"/>
      <c r="AG48" s="23"/>
      <c r="AH48" s="23"/>
      <c r="AI48" s="23"/>
      <c r="AJ48" s="23"/>
      <c r="AK48" s="23"/>
      <c r="AL48" s="23"/>
      <c r="AM48" s="23"/>
      <c r="AN48" s="23"/>
      <c r="AO48" s="23"/>
      <c r="AP48" s="23"/>
      <c r="AQ48" s="23"/>
      <c r="AR48" s="23"/>
      <c r="AS48" s="23"/>
      <c r="AT48" s="23"/>
      <c r="AU48" s="23"/>
      <c r="AV48" s="23"/>
      <c r="AW48" s="23"/>
      <c r="AX48" s="23"/>
      <c r="AY48" s="23"/>
      <c r="AZ48" s="23"/>
      <c r="BA48" s="23"/>
      <c r="BB48" s="23"/>
      <c r="BC48" s="23"/>
      <c r="BD48" s="23"/>
      <c r="BE48" s="23"/>
      <c r="BF48" s="23"/>
      <c r="BG48" s="23"/>
      <c r="BH48" s="23"/>
      <c r="BI48" s="23"/>
      <c r="BJ48" s="23"/>
      <c r="BK48" s="23"/>
      <c r="BL48" s="23"/>
      <c r="BM48" s="23"/>
    </row>
    <row r="49" spans="1:65" s="3" customFormat="1" ht="30" customHeight="1" thickBot="1">
      <c r="A49" s="27" t="s">
        <v>69</v>
      </c>
      <c r="B49" s="34"/>
      <c r="C49" s="33"/>
      <c r="D49" s="15"/>
      <c r="E49" s="32"/>
      <c r="F49" s="32"/>
      <c r="G49" s="68"/>
      <c r="H49" s="16"/>
      <c r="I49" s="16" t="str">
        <f t="shared" ca="1" si="9"/>
        <v/>
      </c>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row>
    <row r="50" spans="1:65" s="3" customFormat="1" ht="30" customHeight="1" thickBot="1">
      <c r="A50" s="28" t="s">
        <v>70</v>
      </c>
      <c r="B50" s="17" t="s">
        <v>71</v>
      </c>
      <c r="C50" s="18"/>
      <c r="D50" s="19"/>
      <c r="E50" s="20"/>
      <c r="F50" s="21"/>
      <c r="G50" s="69"/>
      <c r="H50" s="22"/>
      <c r="I50" s="22" t="str">
        <f t="shared" ca="1" si="9"/>
        <v/>
      </c>
      <c r="J50" s="25"/>
      <c r="K50" s="25"/>
      <c r="L50" s="25"/>
      <c r="M50" s="25"/>
      <c r="N50" s="25"/>
      <c r="O50" s="25"/>
      <c r="P50" s="25"/>
      <c r="Q50" s="25"/>
      <c r="R50" s="25"/>
      <c r="S50" s="25"/>
      <c r="T50" s="25"/>
      <c r="U50" s="25"/>
      <c r="V50" s="25"/>
      <c r="W50" s="25"/>
      <c r="X50" s="25"/>
      <c r="Y50" s="25"/>
      <c r="Z50" s="25"/>
      <c r="AA50" s="25"/>
      <c r="AB50" s="25"/>
      <c r="AC50" s="25"/>
      <c r="AD50" s="25"/>
      <c r="AE50" s="25"/>
      <c r="AF50" s="25"/>
      <c r="AG50" s="25"/>
      <c r="AH50" s="25"/>
      <c r="AI50" s="25"/>
      <c r="AJ50" s="25"/>
      <c r="AK50" s="25"/>
      <c r="AL50" s="25"/>
      <c r="AM50" s="25"/>
      <c r="AN50" s="25"/>
      <c r="AO50" s="25"/>
      <c r="AP50" s="25"/>
      <c r="AQ50" s="25"/>
      <c r="AR50" s="25"/>
      <c r="AS50" s="25"/>
      <c r="AT50" s="25"/>
      <c r="AU50" s="25"/>
      <c r="AV50" s="25"/>
      <c r="AW50" s="25"/>
      <c r="AX50" s="25"/>
      <c r="AY50" s="25"/>
      <c r="AZ50" s="25"/>
      <c r="BA50" s="25"/>
      <c r="BB50" s="25"/>
      <c r="BC50" s="25"/>
      <c r="BD50" s="25"/>
      <c r="BE50" s="25"/>
      <c r="BF50" s="25"/>
      <c r="BG50" s="25"/>
      <c r="BH50" s="25"/>
      <c r="BI50" s="25"/>
      <c r="BJ50" s="25"/>
      <c r="BK50" s="25"/>
      <c r="BL50" s="25"/>
      <c r="BM50" s="25"/>
    </row>
    <row r="51" spans="1:65" ht="30" customHeight="1">
      <c r="H51" s="6"/>
    </row>
    <row r="52" spans="1:65" ht="30" customHeight="1">
      <c r="C52" s="13"/>
      <c r="F52" s="29"/>
      <c r="G52" s="71"/>
    </row>
    <row r="53" spans="1:65" ht="30" customHeight="1">
      <c r="C53" s="14"/>
    </row>
  </sheetData>
  <mergeCells count="14">
    <mergeCell ref="B41:G41"/>
    <mergeCell ref="B44:G44"/>
    <mergeCell ref="B47:G47"/>
    <mergeCell ref="C3:D3"/>
    <mergeCell ref="C4:D4"/>
    <mergeCell ref="AL4:AR4"/>
    <mergeCell ref="AS4:AY4"/>
    <mergeCell ref="AZ4:BF4"/>
    <mergeCell ref="BG4:BM4"/>
    <mergeCell ref="E3:F3"/>
    <mergeCell ref="J4:P4"/>
    <mergeCell ref="Q4:W4"/>
    <mergeCell ref="X4:AD4"/>
    <mergeCell ref="AE4:AK4"/>
  </mergeCells>
  <conditionalFormatting sqref="D42:D43 D45:D46 D48:D50 D7:D40">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J5:BM50">
    <cfRule type="expression" dxfId="2" priority="33">
      <formula>AND(TODAY()&gt;=J$5,TODAY()&lt;K$5)</formula>
    </cfRule>
  </conditionalFormatting>
  <conditionalFormatting sqref="J7:BM50">
    <cfRule type="expression" dxfId="1" priority="27">
      <formula>AND(task_start&lt;=J$5,ROUNDDOWN((task_end-task_start+1)*task_progress,0)+task_start-1&gt;=J$5)</formula>
    </cfRule>
    <cfRule type="expression" dxfId="0" priority="28" stopIfTrue="1">
      <formula>AND(task_end&gt;=J$5,task_start&lt;K$5)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printOptions horizontalCentered="1"/>
  <pageMargins left="0.35" right="0.35" top="0.35" bottom="0.5" header="0.3" footer="0.3"/>
  <pageSetup scale="57"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D42:D43 D45:D46 D48:D50 D7:D40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F5F6638245D5F489C492A8A4CAD5181" ma:contentTypeVersion="25" ma:contentTypeDescription="Create a new document." ma:contentTypeScope="" ma:versionID="736407436f70d0447fb7b71a4f7f3bde">
  <xsd:schema xmlns:xsd="http://www.w3.org/2001/XMLSchema" xmlns:xs="http://www.w3.org/2001/XMLSchema" xmlns:p="http://schemas.microsoft.com/office/2006/metadata/properties" xmlns:ns2="7963abd7-b1fd-4e31-9721-c6fee94b0cb0" xmlns:ns3="8a398bdf-8e41-4a71-9177-f5160f512c04" targetNamespace="http://schemas.microsoft.com/office/2006/metadata/properties" ma:root="true" ma:fieldsID="5761057f95071114197a3ca175f84f21" ns2:_="" ns3:_="">
    <xsd:import namespace="7963abd7-b1fd-4e31-9721-c6fee94b0cb0"/>
    <xsd:import namespace="8a398bdf-8e41-4a71-9177-f5160f512c04"/>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MediaServiceLocation" minOccurs="0"/>
                <xsd:element ref="ns2:MediaServiceOCR" minOccurs="0"/>
                <xsd:element ref="ns2:MediaLengthInSeconds" minOccurs="0"/>
                <xsd:element ref="ns2:lcf76f155ced4ddcb4097134ff3c332f" minOccurs="0"/>
                <xsd:element ref="ns3:TaxCatchAll"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963abd7-b1fd-4e31-9721-c6fee94b0cb0" elementFormDefault="qualified">
    <xsd:import namespace="http://schemas.microsoft.com/office/2006/documentManagement/types"/>
    <xsd:import namespace="http://schemas.microsoft.com/office/infopath/2007/PartnerControls"/>
    <xsd:element name="MediaServiceMetadata" ma:index="5" nillable="true" ma:displayName="MediaServiceMetadata" ma:hidden="true" ma:internalName="MediaServiceMetadata" ma:readOnly="true">
      <xsd:simpleType>
        <xsd:restriction base="dms:Note"/>
      </xsd:simpleType>
    </xsd:element>
    <xsd:element name="MediaServiceFastMetadata" ma:index="6" nillable="true" ma:displayName="MediaServiceFastMetadata" ma:hidden="true" ma:internalName="MediaServiceFastMetadata" ma:readOnly="true">
      <xsd:simpleType>
        <xsd:restriction base="dms:Note"/>
      </xsd:simpleType>
    </xsd:element>
    <xsd:element name="MediaServiceDateTaken" ma:index="7" nillable="true" ma:displayName="MediaServiceDateTaken" ma:description="" ma:hidden="true" ma:internalName="MediaServiceDateTaken" ma:readOnly="true">
      <xsd:simpleType>
        <xsd:restriction base="dms:Text"/>
      </xsd:simpleType>
    </xsd:element>
    <xsd:element name="MediaServiceGenerationTime" ma:index="8" nillable="true" ma:displayName="MediaServiceGenerationTime" ma:hidden="true" ma:internalName="MediaServiceGenerationTime" ma:readOnly="true">
      <xsd:simpleType>
        <xsd:restriction base="dms:Text"/>
      </xsd:simpleType>
    </xsd:element>
    <xsd:element name="MediaServiceEventHashCode" ma:index="9" nillable="true" ma:displayName="MediaServiceEventHashCode" ma:hidden="true" ma:internalName="MediaServiceEventHashCode" ma:readOnly="true">
      <xsd:simpleType>
        <xsd:restriction base="dms:Text"/>
      </xsd:simpleType>
    </xsd:element>
    <xsd:element name="MediaServiceLocation" ma:index="10" nillable="true" ma:displayName="Location" ma:description="" ma:internalName="MediaServiceLocation"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LengthInSeconds" ma:index="12" nillable="true" ma:displayName="MediaLengthInSeconds" ma:description=""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0ead9ae7-51a7-4a42-a9b2-43e76f4f824d" ma:termSetId="09814cd3-568e-fe90-9814-8d621ff8fb84" ma:anchorId="fba54fb3-c3e1-fe81-a776-ca4b69148c4d" ma:open="true" ma:isKeyword="false">
      <xsd:complexType>
        <xsd:sequence>
          <xsd:element ref="pc:Terms" minOccurs="0" maxOccurs="1"/>
        </xsd:sequence>
      </xsd:complexType>
    </xsd:element>
    <xsd:element name="MediaServiceSearchProperties" ma:index="16" nillable="true" ma:displayName="MediaServiceSearchProperties" ma:hidden="true" ma:internalName="MediaServiceSearchProperties" ma:readOnly="true">
      <xsd:simpleType>
        <xsd:restriction base="dms:Note"/>
      </xsd:simpleType>
    </xsd:element>
    <xsd:element name="MediaServiceBillingMetadata" ma:index="17"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a398bdf-8e41-4a71-9177-f5160f512c0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7ac6e8c-499b-4941-8a05-e4a91feeb03d}" ma:internalName="TaxCatchAll" ma:showField="CatchAllData" ma:web="8a398bdf-8e41-4a71-9177-f5160f512c0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8"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a398bdf-8e41-4a71-9177-f5160f512c04" xsi:nil="true"/>
    <lcf76f155ced4ddcb4097134ff3c332f xmlns="7963abd7-b1fd-4e31-9721-c6fee94b0cb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0E7A971-D082-420C-9D6E-427C98133871}"/>
</file>

<file path=customXml/itemProps2.xml><?xml version="1.0" encoding="utf-8"?>
<ds:datastoreItem xmlns:ds="http://schemas.openxmlformats.org/officeDocument/2006/customXml" ds:itemID="{91C8627D-42C6-498C-A9A4-9D14A44E3584}"/>
</file>

<file path=customXml/itemProps3.xml><?xml version="1.0" encoding="utf-8"?>
<ds:datastoreItem xmlns:ds="http://schemas.openxmlformats.org/officeDocument/2006/customXml" ds:itemID="{6710F012-5194-4FA5-B25C-7AB27DDD931A}"/>
</file>

<file path=docProps/app.xml><?xml version="1.0" encoding="utf-8"?>
<Properties xmlns="http://schemas.openxmlformats.org/officeDocument/2006/extended-properties" xmlns:vt="http://schemas.openxmlformats.org/officeDocument/2006/docPropsVTypes">
  <Template>TM16400962</Template>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Rowan, Amy (NBCUniversal)</cp:lastModifiedBy>
  <cp:revision/>
  <dcterms:created xsi:type="dcterms:W3CDTF">2022-03-11T22:40:12Z</dcterms:created>
  <dcterms:modified xsi:type="dcterms:W3CDTF">2024-05-24T09:22:10Z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0x0101009F5F6638245D5F489C492A8A4CAD5181</vt:lpwstr>
  </property>
  <property fmtid="{D5CDD505-2E9C-101B-9397-08002B2CF9AE}" pid="3" name="MediaServiceImageTags">
    <vt:lpwstr/>
  </property>
  <property fmtid="{D5CDD505-2E9C-101B-9397-08002B2CF9AE}" pid="4" name="Order">
    <vt:r8>174000</vt:r8>
  </property>
  <property fmtid="{D5CDD505-2E9C-101B-9397-08002B2CF9AE}" pid="5" name="_ExtendedDescription">
    <vt:lpwstr/>
  </property>
</Properties>
</file>