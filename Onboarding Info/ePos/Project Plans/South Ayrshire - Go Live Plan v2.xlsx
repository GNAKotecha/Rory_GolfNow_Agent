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filterPrivacy="1" codeName="ThisWorkbook"/>
  <xr:revisionPtr revIDLastSave="9" documentId="8_{9A770CB6-4F91-D541-9AC4-E85BEBB35530}" xr6:coauthVersionLast="47" xr6:coauthVersionMax="47" xr10:uidLastSave="{212E899E-ECEF-0D4A-9485-D28FD2FCEFE3}"/>
  <bookViews>
    <workbookView xWindow="0" yWindow="500" windowWidth="38400" windowHeight="19400" xr2:uid="{00000000-000D-0000-FFFF-FFFF00000000}"/>
  </bookViews>
  <sheets>
    <sheet name="ProjectSchedule" sheetId="11" r:id="rId1"/>
    <sheet name="Sheet1"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7" i="11" l="1"/>
  <c r="G67" i="11"/>
  <c r="G66" i="11"/>
  <c r="G64" i="11"/>
  <c r="I62" i="11"/>
  <c r="G62" i="11"/>
  <c r="G61" i="11"/>
  <c r="I60" i="11"/>
  <c r="G59" i="11"/>
  <c r="G58" i="11"/>
  <c r="G57" i="11"/>
  <c r="G56" i="11"/>
  <c r="G46" i="11"/>
  <c r="G44" i="11"/>
  <c r="G32" i="11"/>
  <c r="G22" i="11"/>
  <c r="G30" i="11"/>
  <c r="G17" i="11"/>
  <c r="G15" i="11"/>
  <c r="G14" i="11"/>
  <c r="G52" i="11"/>
  <c r="G51" i="11"/>
  <c r="G49" i="11"/>
  <c r="I47" i="11"/>
  <c r="I45" i="11"/>
  <c r="G47" i="11"/>
  <c r="G43" i="11"/>
  <c r="G42" i="11"/>
  <c r="G41" i="11"/>
  <c r="G29" i="11"/>
  <c r="G28" i="11"/>
  <c r="G27" i="11"/>
  <c r="G13" i="11"/>
  <c r="G12" i="11"/>
  <c r="I35" i="11"/>
  <c r="G35" i="11"/>
  <c r="G24" i="11"/>
  <c r="G38" i="11"/>
  <c r="G37" i="11"/>
  <c r="I33" i="11"/>
  <c r="G33" i="11"/>
  <c r="G9" i="11"/>
  <c r="G10" i="11"/>
  <c r="G20" i="11"/>
  <c r="G23" i="11"/>
  <c r="I20" i="11"/>
  <c r="I52" i="11"/>
  <c r="I70" i="11"/>
  <c r="I7" i="11"/>
  <c r="J5" i="11" l="1"/>
  <c r="I8" i="11"/>
  <c r="J6" i="11" l="1"/>
  <c r="K5" i="11" l="1"/>
  <c r="L5" i="11" s="1"/>
  <c r="M5" i="11" s="1"/>
  <c r="N5" i="11" s="1"/>
  <c r="O5" i="11" s="1"/>
  <c r="P5" i="11" s="1"/>
  <c r="Q5" i="11" s="1"/>
  <c r="J4" i="11"/>
  <c r="Q4" i="11" l="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sharedStrings.xml><?xml version="1.0" encoding="utf-8"?>
<sst xmlns="http://schemas.openxmlformats.org/spreadsheetml/2006/main" count="119" uniqueCount="62">
  <si>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</si>
  <si>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South Ayrshire - DRAFT Go Live Plan</t>
  </si>
  <si>
    <t>Enter Company Name in cell B2.</t>
  </si>
  <si>
    <t>Enter the name of the Project Lead in cell B3. Enter the Project Start date in cell E3. Project Start: label is in cell C3.</t>
  </si>
  <si>
    <t>Lesley Williams - ePos</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</si>
  <si>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</si>
  <si>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</si>
  <si>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</si>
  <si>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</si>
  <si>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</si>
  <si>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</si>
  <si>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</si>
  <si>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</si>
  <si>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</si>
  <si>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</si>
  <si>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WORK DAYS</t>
  </si>
  <si>
    <t>DAYS</t>
  </si>
  <si>
    <t xml:space="preserve">Do not delete this row. This row is hidden to preserve a formula that is used to highlight the current day within the project schedule. </t>
  </si>
  <si>
    <t>Sample phase title block</t>
  </si>
  <si>
    <t>ePOS System</t>
  </si>
  <si>
    <t>Purchase and install hardware</t>
  </si>
  <si>
    <t>Kieron Gallagher</t>
  </si>
  <si>
    <t>Create ePos system</t>
  </si>
  <si>
    <t>Lesley Williams</t>
  </si>
  <si>
    <t>Girvan Go Live - golf shop only</t>
  </si>
  <si>
    <t>Provide Girvan product data</t>
  </si>
  <si>
    <t>Upload product data</t>
  </si>
  <si>
    <t>Remote Introduction for Pro shop staff (remote) - All staff from all sites</t>
  </si>
  <si>
    <t>Back office introduction (remote) - for Kieron, Isobel and Richard</t>
  </si>
  <si>
    <t>- Training includes : Managing Products, Discounts/Specials,</t>
  </si>
  <si>
    <t>IT Setup to be completed by</t>
  </si>
  <si>
    <t>SAC IT Team</t>
  </si>
  <si>
    <t>- IT Setup includes: - Install printer drivers, Install receipt printer, Install Firefox, Enable silent printing in Firefox</t>
  </si>
  <si>
    <t>On-site</t>
  </si>
  <si>
    <t>ePos Training for Pro Shop staff (onsite)</t>
  </si>
  <si>
    <t>- Training includes : Tee sheet differences, Paying for a tee time, Adding items to the order, Adding a customer to the order, Taking payment, Saving an order for later, Applying discounts, Member wallet top up, Refund order, End of Day Cash Close</t>
  </si>
  <si>
    <t>Parallel running epos systems</t>
  </si>
  <si>
    <t>Go Live Checkpoint - review/agree if on-site support is needed for w/c 30th January</t>
  </si>
  <si>
    <t>Lesley &amp; Kieron</t>
  </si>
  <si>
    <t>Go Live</t>
  </si>
  <si>
    <t>On-site support - TBD</t>
  </si>
  <si>
    <t>Troon Go Live - golf shop &amp; F&amp;B</t>
  </si>
  <si>
    <t>Provide Troon product data</t>
  </si>
  <si>
    <t>F&amp;B Menu setup</t>
  </si>
  <si>
    <t>- IT Setup includes: - on golf shop PC - Install printer drivers, receipt printer, install Firefox and enable silent printing in Firefox
for F&amp;B - setup wifi network dedicated to F&amp;B tills, install and configure iPad app, install receipt and kitchen printers, connect ipad app to receipt and kitchen printers.</t>
  </si>
  <si>
    <t>Parallel running epos systems for F&amp;B w/c 13/2</t>
  </si>
  <si>
    <t>ePos Introduction for Pro Shop staff (onsite)</t>
  </si>
  <si>
    <t>ePos Introduction for F&amp;B staff (onsite)</t>
  </si>
  <si>
    <t>- Training includes : Paying for a tee time, Creating an Order, Adding a customer to the order, Taking payment, Food Modifiers/Notes, Hold an order, Send to Kitchen, Applying discounts, Split/Combine orders, Assign to table, Member wallet top up, Refund order, End of Day Cash Close</t>
  </si>
  <si>
    <t>Belleisle Go Live - golf shop &amp; F&amp;B</t>
  </si>
  <si>
    <t>Provide Belleisle product data</t>
  </si>
  <si>
    <t>Parallel running epos systems for F&amp;B w/c 17/2 - May not be required</t>
  </si>
  <si>
    <t>ePos Introduction for Pro Shop staff (onsite?)</t>
  </si>
  <si>
    <t>ePos Introduction for F&amp;B staff (onsite?)</t>
  </si>
  <si>
    <t>This is an empty row</t>
  </si>
  <si>
    <t>This row marks the end of the Project Schedule. DO NOT enter anything in this row. 
Insert new rows ABOVE this one to continue building out your Project Schedule.</t>
  </si>
  <si>
    <t>Dalmilling Go Live - golf shop</t>
  </si>
  <si>
    <t>Dalmilling setup is identical to Girvan and could be set up immediately after Girvan if appropriate.</t>
  </si>
  <si>
    <t>Provide Dalmilling product data</t>
  </si>
  <si>
    <t>- IT Setup includes: - Install printer drivers, receipt printer, install Firefox and enable silent printing in Firefox</t>
  </si>
  <si>
    <t>Parallel running epos systems w/c 17/2 - may not be required</t>
  </si>
  <si>
    <t>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</si>
</sst>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ddd\,\ d/m/yyyy"/>
    <numFmt numFmtId="170" formatCode="d/m/yy;@"/>
  </numFmts>
  <fonts count="26">
    <font>
      <sz val="11"/>
      <color theme="1"/>
      <name val="Calibri"/>
      <family val="2"/>
      <scheme val="minor"/>
    </font>
    <font>
      <sz val="12"/>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b/>
      <sz val="12"/>
      <color theme="0"/>
      <name val="Calibri"/>
      <family val="2"/>
      <scheme val="minor"/>
    </font>
    <font>
      <i/>
      <sz val="14"/>
      <color theme="1"/>
      <name val="Calibri"/>
      <family val="2"/>
      <scheme val="minor"/>
    </font>
    <font>
      <b/>
      <sz val="14"/>
      <color theme="1"/>
      <name val="Calibri"/>
      <family val="2"/>
      <scheme val="minor"/>
    </font>
    <font>
      <sz val="14"/>
      <name val="Calibri"/>
      <family val="2"/>
      <scheme val="minor"/>
    </font>
    <font>
      <b/>
      <sz val="14"/>
      <name val="Calibri"/>
      <family val="2"/>
      <scheme val="minor"/>
    </font>
    <font>
      <b/>
      <sz val="18"/>
      <color theme="1"/>
      <name val="Calibri"/>
      <family val="2"/>
      <scheme val="minor"/>
    </font>
    <font>
      <i/>
      <sz val="16"/>
      <color theme="1"/>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59999389629810485"/>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4"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42">
    <xf numFmtId="0" fontId="0" fillId="0" borderId="0" xfId="0"/>
    <xf numFmtId="0" fontId="2" fillId="0" borderId="0" xfId="0" applyFont="1" applyAlignment="1">
      <alignment horizontal="left"/>
    </xf>
    <xf numFmtId="0" fontId="3" fillId="0" borderId="0" xfId="0" applyFont="1"/>
    <xf numFmtId="0" fontId="0" fillId="0" borderId="0" xfId="0" applyAlignment="1">
      <alignment vertic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center" vertical="center" wrapText="1"/>
    </xf>
    <xf numFmtId="168" fontId="11" fillId="6" borderId="0" xfId="0" applyNumberFormat="1" applyFont="1" applyFill="1" applyAlignment="1">
      <alignment horizontal="center" vertical="center"/>
    </xf>
    <xf numFmtId="168" fontId="11" fillId="6" borderId="6" xfId="0" applyNumberFormat="1" applyFont="1" applyFill="1" applyBorder="1" applyAlignment="1">
      <alignment horizontal="center" vertical="center"/>
    </xf>
    <xf numFmtId="168" fontId="11" fillId="6" borderId="7" xfId="0" applyNumberFormat="1" applyFont="1" applyFill="1" applyBorder="1" applyAlignment="1">
      <alignment horizontal="center" vertical="center"/>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6" fillId="0" borderId="2" xfId="2" applyFont="1" applyBorder="1" applyAlignment="1">
      <alignment horizontal="center" vertical="center"/>
    </xf>
    <xf numFmtId="0" fontId="6"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6" fillId="2" borderId="2" xfId="2" applyFont="1" applyFill="1" applyBorder="1" applyAlignment="1">
      <alignment horizontal="center" vertical="center"/>
    </xf>
    <xf numFmtId="165" fontId="5" fillId="2" borderId="2" xfId="0" applyNumberFormat="1" applyFont="1" applyFill="1" applyBorder="1" applyAlignment="1">
      <alignment horizontal="left" vertical="center"/>
    </xf>
    <xf numFmtId="165"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3"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13" fillId="0" borderId="0" xfId="5" applyAlignment="1">
      <alignment horizontal="left"/>
    </xf>
    <xf numFmtId="0" fontId="10" fillId="0" borderId="0" xfId="6"/>
    <xf numFmtId="165" fontId="9" fillId="0" borderId="2" xfId="10">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9" fontId="9" fillId="0" borderId="3" xfId="9" applyNumberFormat="1">
      <alignment horizontal="center" vertical="center"/>
    </xf>
    <xf numFmtId="0" fontId="19" fillId="11" borderId="1" xfId="0" applyFont="1" applyFill="1" applyBorder="1" applyAlignment="1">
      <alignment horizontal="left" vertical="center" indent="1"/>
    </xf>
    <xf numFmtId="0" fontId="19" fillId="11" borderId="1" xfId="0" applyFont="1" applyFill="1" applyBorder="1" applyAlignment="1">
      <alignment horizontal="center" vertical="center" wrapText="1"/>
    </xf>
    <xf numFmtId="1" fontId="9" fillId="0" borderId="2" xfId="10" applyNumberFormat="1">
      <alignment horizontal="center" vertical="center"/>
    </xf>
    <xf numFmtId="1" fontId="6" fillId="2" borderId="2" xfId="0" applyNumberFormat="1" applyFont="1" applyFill="1" applyBorder="1" applyAlignment="1">
      <alignment horizontal="center" vertical="center"/>
    </xf>
    <xf numFmtId="1" fontId="0" fillId="0" borderId="0" xfId="0" applyNumberFormat="1"/>
    <xf numFmtId="1" fontId="16" fillId="0" borderId="0" xfId="0" applyNumberFormat="1" applyFont="1" applyAlignment="1">
      <alignment horizontal="center"/>
    </xf>
    <xf numFmtId="0" fontId="20" fillId="0" borderId="0" xfId="7" applyFont="1" applyAlignment="1">
      <alignment vertical="top" wrapText="1"/>
    </xf>
    <xf numFmtId="0" fontId="1" fillId="0" borderId="0" xfId="0" applyFont="1"/>
    <xf numFmtId="0" fontId="1" fillId="0" borderId="0" xfId="0" applyFont="1" applyAlignment="1">
      <alignment wrapText="1"/>
    </xf>
    <xf numFmtId="0" fontId="20" fillId="5" borderId="2" xfId="11" applyFont="1" applyFill="1">
      <alignment horizontal="center" vertical="center"/>
    </xf>
    <xf numFmtId="9" fontId="22" fillId="5" borderId="2" xfId="2" applyFont="1" applyFill="1" applyBorder="1" applyAlignment="1">
      <alignment horizontal="center" vertical="center"/>
    </xf>
    <xf numFmtId="170" fontId="10" fillId="5" borderId="2" xfId="0" applyNumberFormat="1" applyFont="1" applyFill="1" applyBorder="1" applyAlignment="1">
      <alignment horizontal="center" vertical="center"/>
    </xf>
    <xf numFmtId="170" fontId="22" fillId="5" borderId="2" xfId="0" applyNumberFormat="1" applyFont="1" applyFill="1" applyBorder="1" applyAlignment="1">
      <alignment horizontal="center" vertical="center"/>
    </xf>
    <xf numFmtId="1" fontId="22" fillId="5" borderId="2" xfId="0" applyNumberFormat="1" applyFont="1" applyFill="1" applyBorder="1" applyAlignment="1">
      <alignment horizontal="center" vertical="center"/>
    </xf>
    <xf numFmtId="0" fontId="10" fillId="9" borderId="2" xfId="12" applyFont="1" applyFill="1" applyAlignment="1">
      <alignment horizontal="left" vertical="center" wrapText="1" indent="2"/>
    </xf>
    <xf numFmtId="0" fontId="10" fillId="9" borderId="2" xfId="11" applyFont="1" applyFill="1">
      <alignment horizontal="center" vertical="center"/>
    </xf>
    <xf numFmtId="9" fontId="22" fillId="9" borderId="2" xfId="2" applyFont="1" applyFill="1" applyBorder="1" applyAlignment="1">
      <alignment horizontal="center" vertical="center"/>
    </xf>
    <xf numFmtId="170" fontId="10" fillId="9" borderId="2" xfId="10" applyNumberFormat="1" applyFont="1" applyFill="1">
      <alignment horizontal="center" vertical="center"/>
    </xf>
    <xf numFmtId="1" fontId="10" fillId="9" borderId="2" xfId="10" applyNumberFormat="1" applyFont="1" applyFill="1">
      <alignment horizontal="center" vertical="center"/>
    </xf>
    <xf numFmtId="0" fontId="21" fillId="4" borderId="2" xfId="11" applyFont="1" applyFill="1">
      <alignment horizontal="center" vertical="center"/>
    </xf>
    <xf numFmtId="9" fontId="23" fillId="4" borderId="2" xfId="2" applyFont="1" applyFill="1" applyBorder="1" applyAlignment="1">
      <alignment horizontal="center" vertical="center"/>
    </xf>
    <xf numFmtId="170" fontId="21" fillId="4" borderId="2" xfId="10" applyNumberFormat="1" applyFont="1" applyFill="1">
      <alignment horizontal="center" vertical="center"/>
    </xf>
    <xf numFmtId="1" fontId="21" fillId="4" borderId="2" xfId="10" applyNumberFormat="1" applyFont="1" applyFill="1">
      <alignment horizontal="center" vertical="center"/>
    </xf>
    <xf numFmtId="0" fontId="10" fillId="8" borderId="2" xfId="12" applyFont="1" applyFill="1" applyAlignment="1">
      <alignment horizontal="left" vertical="center" wrapText="1" indent="2"/>
    </xf>
    <xf numFmtId="0" fontId="10" fillId="8" borderId="2" xfId="11" applyFont="1" applyFill="1">
      <alignment horizontal="center" vertical="center"/>
    </xf>
    <xf numFmtId="9" fontId="22" fillId="8" borderId="2" xfId="2" applyFont="1" applyFill="1" applyBorder="1" applyAlignment="1">
      <alignment horizontal="center" vertical="center"/>
    </xf>
    <xf numFmtId="170" fontId="10" fillId="8" borderId="2" xfId="10" applyNumberFormat="1" applyFont="1" applyFill="1">
      <alignment horizontal="center" vertical="center"/>
    </xf>
    <xf numFmtId="1" fontId="10" fillId="8" borderId="2" xfId="10" applyNumberFormat="1" applyFont="1" applyFill="1">
      <alignment horizontal="center" vertical="center"/>
    </xf>
    <xf numFmtId="0" fontId="21" fillId="8" borderId="2" xfId="11" applyFont="1" applyFill="1">
      <alignment horizontal="center" vertical="center"/>
    </xf>
    <xf numFmtId="9" fontId="23" fillId="8" borderId="2" xfId="2" applyFont="1" applyFill="1" applyBorder="1" applyAlignment="1">
      <alignment horizontal="center" vertical="center"/>
    </xf>
    <xf numFmtId="170" fontId="21" fillId="8" borderId="2" xfId="10" applyNumberFormat="1" applyFont="1" applyFill="1">
      <alignment horizontal="center" vertical="center"/>
    </xf>
    <xf numFmtId="1" fontId="21" fillId="8" borderId="2" xfId="10" applyNumberFormat="1" applyFont="1" applyFill="1">
      <alignment horizontal="center" vertical="center"/>
    </xf>
    <xf numFmtId="0" fontId="21" fillId="7" borderId="2" xfId="11" applyFont="1" applyFill="1">
      <alignment horizontal="center" vertical="center"/>
    </xf>
    <xf numFmtId="9" fontId="23" fillId="7" borderId="2" xfId="2" applyFont="1" applyFill="1" applyBorder="1" applyAlignment="1">
      <alignment horizontal="center" vertical="center"/>
    </xf>
    <xf numFmtId="170" fontId="21" fillId="7" borderId="2" xfId="10" applyNumberFormat="1" applyFont="1" applyFill="1">
      <alignment horizontal="center" vertical="center"/>
    </xf>
    <xf numFmtId="1" fontId="21" fillId="7" borderId="2" xfId="10" applyNumberFormat="1" applyFont="1" applyFill="1">
      <alignment horizontal="center" vertical="center"/>
    </xf>
    <xf numFmtId="0" fontId="10" fillId="3" borderId="2" xfId="12" applyFont="1" applyFill="1" applyAlignment="1">
      <alignment horizontal="left" vertical="center" wrapText="1" indent="2"/>
    </xf>
    <xf numFmtId="0" fontId="10" fillId="3" borderId="2" xfId="11" applyFont="1" applyFill="1">
      <alignment horizontal="center" vertical="center"/>
    </xf>
    <xf numFmtId="9" fontId="22" fillId="3" borderId="2" xfId="2" applyFont="1" applyFill="1" applyBorder="1" applyAlignment="1">
      <alignment horizontal="center" vertical="center"/>
    </xf>
    <xf numFmtId="170" fontId="10" fillId="3" borderId="2" xfId="10" applyNumberFormat="1" applyFont="1" applyFill="1">
      <alignment horizontal="center" vertical="center"/>
    </xf>
    <xf numFmtId="1" fontId="10" fillId="3" borderId="2" xfId="10" applyNumberFormat="1" applyFont="1" applyFill="1">
      <alignment horizontal="center" vertical="center"/>
    </xf>
    <xf numFmtId="0" fontId="21" fillId="3" borderId="2" xfId="11" applyFont="1" applyFill="1">
      <alignment horizontal="center" vertical="center"/>
    </xf>
    <xf numFmtId="9" fontId="23" fillId="3" borderId="2" xfId="2" applyFont="1" applyFill="1" applyBorder="1" applyAlignment="1">
      <alignment horizontal="center" vertical="center"/>
    </xf>
    <xf numFmtId="170" fontId="21" fillId="3" borderId="2" xfId="10" applyNumberFormat="1" applyFont="1" applyFill="1">
      <alignment horizontal="center" vertical="center"/>
    </xf>
    <xf numFmtId="1" fontId="21" fillId="3" borderId="2" xfId="10" applyNumberFormat="1" applyFont="1" applyFill="1">
      <alignment horizontal="center" vertical="center"/>
    </xf>
    <xf numFmtId="0" fontId="21" fillId="13" borderId="2" xfId="11" applyFont="1" applyFill="1">
      <alignment horizontal="center" vertical="center"/>
    </xf>
    <xf numFmtId="9" fontId="23" fillId="13" borderId="2" xfId="2" applyFont="1" applyFill="1" applyBorder="1" applyAlignment="1">
      <alignment horizontal="center" vertical="center"/>
    </xf>
    <xf numFmtId="170" fontId="21" fillId="13" borderId="2" xfId="10" applyNumberFormat="1" applyFont="1" applyFill="1">
      <alignment horizontal="center" vertical="center"/>
    </xf>
    <xf numFmtId="1" fontId="21" fillId="13" borderId="2" xfId="10" applyNumberFormat="1" applyFont="1" applyFill="1">
      <alignment horizontal="center" vertical="center"/>
    </xf>
    <xf numFmtId="0" fontId="10" fillId="12" borderId="2" xfId="12" applyFont="1" applyFill="1" applyAlignment="1">
      <alignment horizontal="left" vertical="center" wrapText="1" indent="2"/>
    </xf>
    <xf numFmtId="0" fontId="10" fillId="12" borderId="2" xfId="11" applyFont="1" applyFill="1">
      <alignment horizontal="center" vertical="center"/>
    </xf>
    <xf numFmtId="9" fontId="22" fillId="12" borderId="2" xfId="2" applyFont="1" applyFill="1" applyBorder="1" applyAlignment="1">
      <alignment horizontal="center" vertical="center"/>
    </xf>
    <xf numFmtId="170" fontId="10" fillId="12" borderId="2" xfId="10" applyNumberFormat="1" applyFont="1" applyFill="1">
      <alignment horizontal="center" vertical="center"/>
    </xf>
    <xf numFmtId="1" fontId="10" fillId="12" borderId="2" xfId="10" applyNumberFormat="1" applyFont="1" applyFill="1">
      <alignment horizontal="center" vertical="center"/>
    </xf>
    <xf numFmtId="0" fontId="21" fillId="12" borderId="2" xfId="11" applyFont="1" applyFill="1">
      <alignment horizontal="center" vertical="center"/>
    </xf>
    <xf numFmtId="9" fontId="23" fillId="12" borderId="2" xfId="2" applyFont="1" applyFill="1" applyBorder="1" applyAlignment="1">
      <alignment horizontal="center" vertical="center"/>
    </xf>
    <xf numFmtId="170" fontId="21" fillId="12" borderId="2" xfId="10" applyNumberFormat="1" applyFont="1" applyFill="1">
      <alignment horizontal="center" vertical="center"/>
    </xf>
    <xf numFmtId="1" fontId="21" fillId="12" borderId="2" xfId="10" applyNumberFormat="1" applyFont="1" applyFill="1">
      <alignment horizontal="center" vertical="center"/>
    </xf>
    <xf numFmtId="0" fontId="10" fillId="8" borderId="2" xfId="12" quotePrefix="1" applyFont="1" applyFill="1" applyAlignment="1">
      <alignment horizontal="left" vertical="center" wrapText="1" indent="3"/>
    </xf>
    <xf numFmtId="0" fontId="10" fillId="8" borderId="2" xfId="0" applyFont="1" applyFill="1" applyBorder="1" applyAlignment="1">
      <alignment horizontal="left" vertical="center" indent="3"/>
    </xf>
    <xf numFmtId="0" fontId="24" fillId="8" borderId="2" xfId="12" applyFont="1" applyFill="1" applyAlignment="1">
      <alignment horizontal="left" vertical="center" wrapText="1" indent="2"/>
    </xf>
    <xf numFmtId="0" fontId="24" fillId="3" borderId="2" xfId="12" applyFont="1" applyFill="1" applyAlignment="1">
      <alignment horizontal="left" vertical="center" wrapText="1" indent="2"/>
    </xf>
    <xf numFmtId="0" fontId="24" fillId="12" borderId="2" xfId="12" applyFont="1" applyFill="1" applyAlignment="1">
      <alignment horizontal="left" vertical="center" wrapText="1" indent="2"/>
    </xf>
    <xf numFmtId="0" fontId="21" fillId="14" borderId="2" xfId="11" applyFont="1" applyFill="1">
      <alignment horizontal="center" vertical="center"/>
    </xf>
    <xf numFmtId="9" fontId="23" fillId="14" borderId="2" xfId="2" applyFont="1" applyFill="1" applyBorder="1" applyAlignment="1">
      <alignment horizontal="center" vertical="center"/>
    </xf>
    <xf numFmtId="170" fontId="21" fillId="14" borderId="2" xfId="10" applyNumberFormat="1" applyFont="1" applyFill="1">
      <alignment horizontal="center" vertical="center"/>
    </xf>
    <xf numFmtId="1" fontId="21" fillId="14" borderId="2" xfId="10" applyNumberFormat="1" applyFont="1" applyFill="1">
      <alignment horizontal="center" vertical="center"/>
    </xf>
    <xf numFmtId="0" fontId="10" fillId="14" borderId="2" xfId="12" applyFont="1" applyFill="1" applyAlignment="1">
      <alignment horizontal="left" vertical="center" wrapText="1" indent="2"/>
    </xf>
    <xf numFmtId="0" fontId="10" fillId="14" borderId="2" xfId="11" applyFont="1" applyFill="1">
      <alignment horizontal="center" vertical="center"/>
    </xf>
    <xf numFmtId="9" fontId="22" fillId="14" borderId="2" xfId="2" applyFont="1" applyFill="1" applyBorder="1" applyAlignment="1">
      <alignment horizontal="center" vertical="center"/>
    </xf>
    <xf numFmtId="170" fontId="10" fillId="14" borderId="2" xfId="10" applyNumberFormat="1" applyFont="1" applyFill="1">
      <alignment horizontal="center" vertical="center"/>
    </xf>
    <xf numFmtId="1" fontId="10" fillId="14" borderId="2" xfId="10" applyNumberFormat="1" applyFont="1" applyFill="1">
      <alignment horizontal="center" vertical="center"/>
    </xf>
    <xf numFmtId="0" fontId="24" fillId="14" borderId="2" xfId="12" applyFont="1" applyFill="1" applyAlignment="1">
      <alignment horizontal="left" vertical="center" wrapText="1" indent="2"/>
    </xf>
    <xf numFmtId="0" fontId="21" fillId="15" borderId="2" xfId="11" applyFont="1" applyFill="1">
      <alignment horizontal="center" vertical="center"/>
    </xf>
    <xf numFmtId="9" fontId="23" fillId="15" borderId="2" xfId="2" applyFont="1" applyFill="1" applyBorder="1" applyAlignment="1">
      <alignment horizontal="center" vertical="center"/>
    </xf>
    <xf numFmtId="170" fontId="21" fillId="15" borderId="2" xfId="10" applyNumberFormat="1" applyFont="1" applyFill="1">
      <alignment horizontal="center" vertical="center"/>
    </xf>
    <xf numFmtId="1" fontId="21" fillId="15" borderId="2" xfId="10" applyNumberFormat="1" applyFont="1" applyFill="1">
      <alignment horizontal="center" vertical="center"/>
    </xf>
    <xf numFmtId="0" fontId="21" fillId="5" borderId="2" xfId="0" applyFont="1" applyFill="1" applyBorder="1" applyAlignment="1">
      <alignment horizontal="left" vertical="center" wrapText="1"/>
    </xf>
    <xf numFmtId="0" fontId="21" fillId="4" borderId="2" xfId="12" applyFont="1" applyFill="1" applyAlignment="1">
      <alignment horizontal="left" vertical="center" wrapText="1"/>
    </xf>
    <xf numFmtId="0" fontId="21" fillId="7" borderId="2" xfId="12" applyFont="1" applyFill="1" applyAlignment="1">
      <alignment horizontal="left" vertical="center" wrapText="1"/>
    </xf>
    <xf numFmtId="0" fontId="21" fillId="13" borderId="2" xfId="12" applyFont="1" applyFill="1" applyAlignment="1">
      <alignment horizontal="left" vertical="center" wrapText="1"/>
    </xf>
    <xf numFmtId="0" fontId="21" fillId="15" borderId="2" xfId="12" applyFont="1" applyFill="1" applyAlignment="1">
      <alignment horizontal="left" vertical="center" wrapText="1"/>
    </xf>
    <xf numFmtId="0" fontId="10" fillId="14" borderId="2" xfId="12" applyFont="1" applyFill="1" applyAlignment="1">
      <alignment horizontal="left" vertical="center" wrapText="1" indent="3"/>
    </xf>
    <xf numFmtId="0" fontId="0" fillId="0" borderId="2" xfId="0" applyBorder="1" applyAlignment="1">
      <alignment horizontal="left" vertical="center" indent="3"/>
    </xf>
    <xf numFmtId="0" fontId="10" fillId="14" borderId="2" xfId="12" quotePrefix="1" applyFont="1" applyFill="1" applyAlignment="1">
      <alignment horizontal="left" vertical="center" wrapText="1" indent="3"/>
    </xf>
    <xf numFmtId="0" fontId="10" fillId="14" borderId="2" xfId="0" applyFont="1" applyFill="1" applyBorder="1" applyAlignment="1">
      <alignment horizontal="left" vertical="center" indent="3"/>
    </xf>
    <xf numFmtId="0" fontId="25" fillId="14" borderId="2" xfId="12" applyFont="1" applyFill="1" applyAlignment="1">
      <alignment horizontal="left" vertical="center" wrapText="1" indent="2"/>
    </xf>
    <xf numFmtId="0" fontId="25" fillId="0" borderId="2" xfId="0" applyFont="1" applyBorder="1" applyAlignment="1">
      <alignment horizontal="left" vertical="center" indent="2"/>
    </xf>
    <xf numFmtId="0" fontId="10" fillId="12" borderId="2" xfId="12" applyFont="1" applyFill="1" applyAlignment="1">
      <alignment horizontal="left" vertical="center" wrapText="1" indent="2"/>
    </xf>
    <xf numFmtId="0" fontId="0" fillId="0" borderId="2" xfId="0" applyBorder="1" applyAlignment="1">
      <alignment horizontal="left" vertical="center" indent="2"/>
    </xf>
    <xf numFmtId="0" fontId="10" fillId="14" borderId="2" xfId="12" applyFont="1" applyFill="1" applyAlignment="1">
      <alignment horizontal="left" vertical="center" wrapText="1" indent="2"/>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0" fontId="10" fillId="3" borderId="2" xfId="12" quotePrefix="1" applyFont="1" applyFill="1" applyAlignment="1">
      <alignment horizontal="left" vertical="center" wrapText="1" indent="3"/>
    </xf>
    <xf numFmtId="0" fontId="10" fillId="3" borderId="2" xfId="0" applyFont="1" applyFill="1" applyBorder="1" applyAlignment="1">
      <alignment horizontal="left" vertical="center" indent="3"/>
    </xf>
    <xf numFmtId="0" fontId="10" fillId="12" borderId="2" xfId="12" quotePrefix="1" applyFont="1" applyFill="1" applyAlignment="1">
      <alignment horizontal="left" vertical="center" wrapText="1" indent="3"/>
    </xf>
    <xf numFmtId="0" fontId="10" fillId="12" borderId="2" xfId="0" applyFont="1" applyFill="1" applyBorder="1" applyAlignment="1">
      <alignment horizontal="left" vertical="center" indent="3"/>
    </xf>
    <xf numFmtId="0" fontId="0" fillId="12" borderId="2" xfId="0" applyFill="1" applyBorder="1" applyAlignment="1">
      <alignment horizontal="left" vertical="center" indent="3"/>
    </xf>
    <xf numFmtId="0" fontId="10" fillId="8" borderId="2" xfId="12" quotePrefix="1" applyFont="1" applyFill="1" applyAlignment="1">
      <alignment horizontal="left" vertical="center" wrapText="1" indent="3"/>
    </xf>
    <xf numFmtId="0" fontId="10" fillId="8" borderId="2" xfId="0" applyFont="1" applyFill="1" applyBorder="1" applyAlignment="1">
      <alignment horizontal="left" vertical="center" indent="3"/>
    </xf>
    <xf numFmtId="0" fontId="9" fillId="0" borderId="0" xfId="8" applyAlignment="1">
      <alignment horizontal="right" indent="1"/>
    </xf>
    <xf numFmtId="0" fontId="9" fillId="0" borderId="7" xfId="8" applyBorder="1" applyAlignment="1">
      <alignment horizontal="right" indent="1"/>
    </xf>
    <xf numFmtId="169" fontId="9" fillId="0" borderId="3" xfId="9" applyNumberFormat="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73"/>
  <sheetViews>
    <sheetView showGridLines="0" tabSelected="1" showRuler="0" zoomScaleNormal="100" zoomScalePageLayoutView="70" workbookViewId="0">
      <pane ySplit="6" topLeftCell="A8" activePane="bottomLeft" state="frozen"/>
      <selection pane="bottomLeft" activeCell="B36" sqref="B36:G36"/>
    </sheetView>
  </sheetViews>
  <sheetFormatPr defaultColWidth="8.85546875" defaultRowHeight="30" customHeight="1"/>
  <cols>
    <col min="1" max="1" width="2.7109375" style="26" customWidth="1"/>
    <col min="2" max="2" width="48.140625" customWidth="1"/>
    <col min="3" max="3" width="30.7109375" customWidth="1"/>
    <col min="4" max="4" width="10.7109375" customWidth="1"/>
    <col min="5" max="5" width="10.42578125" style="5" customWidth="1"/>
    <col min="6" max="6" width="10.42578125" customWidth="1"/>
    <col min="7" max="7" width="10.42578125" style="42" customWidth="1"/>
    <col min="8" max="8" width="2.7109375" customWidth="1"/>
    <col min="9" max="9" width="6.140625" hidden="1" customWidth="1"/>
    <col min="10" max="65" width="2.42578125" customWidth="1"/>
    <col min="70" max="71" width="10.28515625"/>
  </cols>
  <sheetData>
    <row r="1" spans="1:65" ht="30" customHeight="1">
      <c r="A1" s="27" t="s">
        <v>0</v>
      </c>
      <c r="B1" s="29" t="s">
        <v>1</v>
      </c>
      <c r="C1" s="1"/>
      <c r="D1" s="2"/>
      <c r="E1" s="4"/>
      <c r="F1" s="25"/>
      <c r="G1" s="25"/>
      <c r="I1" s="2"/>
      <c r="J1" s="35"/>
    </row>
    <row r="2" spans="1:65" ht="30" customHeight="1">
      <c r="A2" s="26" t="s">
        <v>2</v>
      </c>
      <c r="B2" s="30"/>
      <c r="G2"/>
      <c r="J2" s="36"/>
    </row>
    <row r="3" spans="1:65" ht="20.100000000000001">
      <c r="A3" s="26" t="s">
        <v>3</v>
      </c>
      <c r="B3" s="44" t="s">
        <v>4</v>
      </c>
      <c r="C3" s="139" t="s">
        <v>5</v>
      </c>
      <c r="D3" s="140"/>
      <c r="E3" s="141">
        <v>44928</v>
      </c>
      <c r="F3" s="141"/>
      <c r="G3" s="37"/>
    </row>
    <row r="4" spans="1:65" ht="30" customHeight="1">
      <c r="A4" s="27" t="s">
        <v>6</v>
      </c>
      <c r="C4" s="139" t="s">
        <v>7</v>
      </c>
      <c r="D4" s="140"/>
      <c r="E4" s="7">
        <v>1</v>
      </c>
      <c r="G4"/>
      <c r="J4" s="129">
        <f>J5</f>
        <v>44928</v>
      </c>
      <c r="K4" s="130"/>
      <c r="L4" s="130"/>
      <c r="M4" s="130"/>
      <c r="N4" s="130"/>
      <c r="O4" s="130"/>
      <c r="P4" s="131"/>
      <c r="Q4" s="129">
        <f>Q5</f>
        <v>44935</v>
      </c>
      <c r="R4" s="130"/>
      <c r="S4" s="130"/>
      <c r="T4" s="130"/>
      <c r="U4" s="130"/>
      <c r="V4" s="130"/>
      <c r="W4" s="131"/>
      <c r="X4" s="129">
        <f>X5</f>
        <v>44942</v>
      </c>
      <c r="Y4" s="130"/>
      <c r="Z4" s="130"/>
      <c r="AA4" s="130"/>
      <c r="AB4" s="130"/>
      <c r="AC4" s="130"/>
      <c r="AD4" s="131"/>
      <c r="AE4" s="129">
        <f>AE5</f>
        <v>44949</v>
      </c>
      <c r="AF4" s="130"/>
      <c r="AG4" s="130"/>
      <c r="AH4" s="130"/>
      <c r="AI4" s="130"/>
      <c r="AJ4" s="130"/>
      <c r="AK4" s="131"/>
      <c r="AL4" s="129">
        <f>AL5</f>
        <v>44956</v>
      </c>
      <c r="AM4" s="130"/>
      <c r="AN4" s="130"/>
      <c r="AO4" s="130"/>
      <c r="AP4" s="130"/>
      <c r="AQ4" s="130"/>
      <c r="AR4" s="131"/>
      <c r="AS4" s="129">
        <f>AS5</f>
        <v>44963</v>
      </c>
      <c r="AT4" s="130"/>
      <c r="AU4" s="130"/>
      <c r="AV4" s="130"/>
      <c r="AW4" s="130"/>
      <c r="AX4" s="130"/>
      <c r="AY4" s="131"/>
      <c r="AZ4" s="129">
        <f>AZ5</f>
        <v>44970</v>
      </c>
      <c r="BA4" s="130"/>
      <c r="BB4" s="130"/>
      <c r="BC4" s="130"/>
      <c r="BD4" s="130"/>
      <c r="BE4" s="130"/>
      <c r="BF4" s="131"/>
      <c r="BG4" s="129">
        <f>BG5</f>
        <v>44977</v>
      </c>
      <c r="BH4" s="130"/>
      <c r="BI4" s="130"/>
      <c r="BJ4" s="130"/>
      <c r="BK4" s="130"/>
      <c r="BL4" s="130"/>
      <c r="BM4" s="131"/>
    </row>
    <row r="5" spans="1:65" ht="15" customHeight="1">
      <c r="A5" s="27" t="s">
        <v>8</v>
      </c>
      <c r="B5" s="34"/>
      <c r="C5" s="34"/>
      <c r="D5" s="34"/>
      <c r="E5" s="34"/>
      <c r="F5" s="34"/>
      <c r="G5" s="34"/>
      <c r="H5" s="34"/>
      <c r="J5" s="10">
        <f>Project_Start-WEEKDAY(Project_Start,1)+2+7*(Display_Week-1)</f>
        <v>44928</v>
      </c>
      <c r="K5" s="9">
        <f>J5+1</f>
        <v>44929</v>
      </c>
      <c r="L5" s="9">
        <f t="shared" ref="L5:AY5" si="0">K5+1</f>
        <v>44930</v>
      </c>
      <c r="M5" s="9">
        <f t="shared" si="0"/>
        <v>44931</v>
      </c>
      <c r="N5" s="9">
        <f t="shared" si="0"/>
        <v>44932</v>
      </c>
      <c r="O5" s="9">
        <f t="shared" si="0"/>
        <v>44933</v>
      </c>
      <c r="P5" s="11">
        <f t="shared" si="0"/>
        <v>44934</v>
      </c>
      <c r="Q5" s="10">
        <f>P5+1</f>
        <v>44935</v>
      </c>
      <c r="R5" s="9">
        <f>Q5+1</f>
        <v>44936</v>
      </c>
      <c r="S5" s="9">
        <f t="shared" si="0"/>
        <v>44937</v>
      </c>
      <c r="T5" s="9">
        <f t="shared" si="0"/>
        <v>44938</v>
      </c>
      <c r="U5" s="9">
        <f t="shared" si="0"/>
        <v>44939</v>
      </c>
      <c r="V5" s="9">
        <f t="shared" si="0"/>
        <v>44940</v>
      </c>
      <c r="W5" s="11">
        <f t="shared" si="0"/>
        <v>44941</v>
      </c>
      <c r="X5" s="10">
        <f>W5+1</f>
        <v>44942</v>
      </c>
      <c r="Y5" s="9">
        <f>X5+1</f>
        <v>44943</v>
      </c>
      <c r="Z5" s="9">
        <f t="shared" si="0"/>
        <v>44944</v>
      </c>
      <c r="AA5" s="9">
        <f t="shared" si="0"/>
        <v>44945</v>
      </c>
      <c r="AB5" s="9">
        <f t="shared" si="0"/>
        <v>44946</v>
      </c>
      <c r="AC5" s="9">
        <f t="shared" si="0"/>
        <v>44947</v>
      </c>
      <c r="AD5" s="11">
        <f t="shared" si="0"/>
        <v>44948</v>
      </c>
      <c r="AE5" s="10">
        <f>AD5+1</f>
        <v>44949</v>
      </c>
      <c r="AF5" s="9">
        <f>AE5+1</f>
        <v>44950</v>
      </c>
      <c r="AG5" s="9">
        <f t="shared" si="0"/>
        <v>44951</v>
      </c>
      <c r="AH5" s="9">
        <f t="shared" si="0"/>
        <v>44952</v>
      </c>
      <c r="AI5" s="9">
        <f t="shared" si="0"/>
        <v>44953</v>
      </c>
      <c r="AJ5" s="9">
        <f t="shared" si="0"/>
        <v>44954</v>
      </c>
      <c r="AK5" s="11">
        <f t="shared" si="0"/>
        <v>44955</v>
      </c>
      <c r="AL5" s="10">
        <f>AK5+1</f>
        <v>44956</v>
      </c>
      <c r="AM5" s="9">
        <f>AL5+1</f>
        <v>44957</v>
      </c>
      <c r="AN5" s="9">
        <f t="shared" si="0"/>
        <v>44958</v>
      </c>
      <c r="AO5" s="9">
        <f t="shared" si="0"/>
        <v>44959</v>
      </c>
      <c r="AP5" s="9">
        <f t="shared" si="0"/>
        <v>44960</v>
      </c>
      <c r="AQ5" s="9">
        <f t="shared" si="0"/>
        <v>44961</v>
      </c>
      <c r="AR5" s="11">
        <f t="shared" si="0"/>
        <v>44962</v>
      </c>
      <c r="AS5" s="10">
        <f>AR5+1</f>
        <v>44963</v>
      </c>
      <c r="AT5" s="9">
        <f>AS5+1</f>
        <v>44964</v>
      </c>
      <c r="AU5" s="9">
        <f t="shared" si="0"/>
        <v>44965</v>
      </c>
      <c r="AV5" s="9">
        <f t="shared" si="0"/>
        <v>44966</v>
      </c>
      <c r="AW5" s="9">
        <f t="shared" si="0"/>
        <v>44967</v>
      </c>
      <c r="AX5" s="9">
        <f t="shared" si="0"/>
        <v>44968</v>
      </c>
      <c r="AY5" s="11">
        <f t="shared" si="0"/>
        <v>44969</v>
      </c>
      <c r="AZ5" s="10">
        <f>AY5+1</f>
        <v>44970</v>
      </c>
      <c r="BA5" s="9">
        <f>AZ5+1</f>
        <v>44971</v>
      </c>
      <c r="BB5" s="9">
        <f t="shared" ref="BB5:BF5" si="1">BA5+1</f>
        <v>44972</v>
      </c>
      <c r="BC5" s="9">
        <f t="shared" si="1"/>
        <v>44973</v>
      </c>
      <c r="BD5" s="9">
        <f t="shared" si="1"/>
        <v>44974</v>
      </c>
      <c r="BE5" s="9">
        <f t="shared" si="1"/>
        <v>44975</v>
      </c>
      <c r="BF5" s="11">
        <f t="shared" si="1"/>
        <v>44976</v>
      </c>
      <c r="BG5" s="10">
        <f>BF5+1</f>
        <v>44977</v>
      </c>
      <c r="BH5" s="9">
        <f>BG5+1</f>
        <v>44978</v>
      </c>
      <c r="BI5" s="9">
        <f t="shared" ref="BI5:BM5" si="2">BH5+1</f>
        <v>44979</v>
      </c>
      <c r="BJ5" s="9">
        <f t="shared" si="2"/>
        <v>44980</v>
      </c>
      <c r="BK5" s="9">
        <f t="shared" si="2"/>
        <v>44981</v>
      </c>
      <c r="BL5" s="9">
        <f t="shared" si="2"/>
        <v>44982</v>
      </c>
      <c r="BM5" s="11">
        <f t="shared" si="2"/>
        <v>44983</v>
      </c>
    </row>
    <row r="6" spans="1:65" ht="30" customHeight="1" thickBot="1">
      <c r="A6" s="27" t="s">
        <v>9</v>
      </c>
      <c r="B6" s="38" t="s">
        <v>10</v>
      </c>
      <c r="C6" s="39" t="s">
        <v>11</v>
      </c>
      <c r="D6" s="39" t="s">
        <v>12</v>
      </c>
      <c r="E6" s="39" t="s">
        <v>13</v>
      </c>
      <c r="F6" s="39" t="s">
        <v>14</v>
      </c>
      <c r="G6" s="39" t="s">
        <v>15</v>
      </c>
      <c r="H6" s="8"/>
      <c r="I6" s="8" t="s">
        <v>16</v>
      </c>
      <c r="J6" s="12" t="str">
        <f t="shared" ref="J6" si="3">LEFT(TEXT(J5,"ddd"),1)</f>
        <v>M</v>
      </c>
      <c r="K6" s="12" t="str">
        <f t="shared" ref="K6:AS6" si="4">LEFT(TEXT(K5,"ddd"),1)</f>
        <v>T</v>
      </c>
      <c r="L6" s="12" t="str">
        <f t="shared" si="4"/>
        <v>W</v>
      </c>
      <c r="M6" s="12" t="str">
        <f t="shared" si="4"/>
        <v>T</v>
      </c>
      <c r="N6" s="12" t="str">
        <f t="shared" si="4"/>
        <v>F</v>
      </c>
      <c r="O6" s="12" t="str">
        <f t="shared" si="4"/>
        <v>S</v>
      </c>
      <c r="P6" s="12" t="str">
        <f t="shared" si="4"/>
        <v>S</v>
      </c>
      <c r="Q6" s="12" t="str">
        <f t="shared" si="4"/>
        <v>M</v>
      </c>
      <c r="R6" s="12" t="str">
        <f t="shared" si="4"/>
        <v>T</v>
      </c>
      <c r="S6" s="12" t="str">
        <f t="shared" si="4"/>
        <v>W</v>
      </c>
      <c r="T6" s="12" t="str">
        <f t="shared" si="4"/>
        <v>T</v>
      </c>
      <c r="U6" s="12" t="str">
        <f t="shared" si="4"/>
        <v>F</v>
      </c>
      <c r="V6" s="12" t="str">
        <f t="shared" si="4"/>
        <v>S</v>
      </c>
      <c r="W6" s="12" t="str">
        <f t="shared" si="4"/>
        <v>S</v>
      </c>
      <c r="X6" s="12" t="str">
        <f t="shared" si="4"/>
        <v>M</v>
      </c>
      <c r="Y6" s="12" t="str">
        <f t="shared" si="4"/>
        <v>T</v>
      </c>
      <c r="Z6" s="12" t="str">
        <f t="shared" si="4"/>
        <v>W</v>
      </c>
      <c r="AA6" s="12" t="str">
        <f t="shared" si="4"/>
        <v>T</v>
      </c>
      <c r="AB6" s="12" t="str">
        <f t="shared" si="4"/>
        <v>F</v>
      </c>
      <c r="AC6" s="12" t="str">
        <f t="shared" si="4"/>
        <v>S</v>
      </c>
      <c r="AD6" s="12" t="str">
        <f t="shared" si="4"/>
        <v>S</v>
      </c>
      <c r="AE6" s="12" t="str">
        <f t="shared" si="4"/>
        <v>M</v>
      </c>
      <c r="AF6" s="12" t="str">
        <f t="shared" si="4"/>
        <v>T</v>
      </c>
      <c r="AG6" s="12" t="str">
        <f t="shared" si="4"/>
        <v>W</v>
      </c>
      <c r="AH6" s="12" t="str">
        <f t="shared" si="4"/>
        <v>T</v>
      </c>
      <c r="AI6" s="12" t="str">
        <f t="shared" si="4"/>
        <v>F</v>
      </c>
      <c r="AJ6" s="12" t="str">
        <f t="shared" si="4"/>
        <v>S</v>
      </c>
      <c r="AK6" s="12" t="str">
        <f t="shared" si="4"/>
        <v>S</v>
      </c>
      <c r="AL6" s="12" t="str">
        <f t="shared" si="4"/>
        <v>M</v>
      </c>
      <c r="AM6" s="12" t="str">
        <f t="shared" si="4"/>
        <v>T</v>
      </c>
      <c r="AN6" s="12" t="str">
        <f t="shared" si="4"/>
        <v>W</v>
      </c>
      <c r="AO6" s="12" t="str">
        <f t="shared" si="4"/>
        <v>T</v>
      </c>
      <c r="AP6" s="12" t="str">
        <f t="shared" si="4"/>
        <v>F</v>
      </c>
      <c r="AQ6" s="12" t="str">
        <f t="shared" si="4"/>
        <v>S</v>
      </c>
      <c r="AR6" s="12" t="str">
        <f t="shared" si="4"/>
        <v>S</v>
      </c>
      <c r="AS6" s="12" t="str">
        <f t="shared" si="4"/>
        <v>M</v>
      </c>
      <c r="AT6" s="12" t="str">
        <f t="shared" ref="AT6:BM6" si="5">LEFT(TEXT(AT5,"ddd"),1)</f>
        <v>T</v>
      </c>
      <c r="AU6" s="12" t="str">
        <f t="shared" si="5"/>
        <v>W</v>
      </c>
      <c r="AV6" s="12" t="str">
        <f t="shared" si="5"/>
        <v>T</v>
      </c>
      <c r="AW6" s="12" t="str">
        <f t="shared" si="5"/>
        <v>F</v>
      </c>
      <c r="AX6" s="12" t="str">
        <f t="shared" si="5"/>
        <v>S</v>
      </c>
      <c r="AY6" s="12" t="str">
        <f t="shared" si="5"/>
        <v>S</v>
      </c>
      <c r="AZ6" s="12" t="str">
        <f t="shared" si="5"/>
        <v>M</v>
      </c>
      <c r="BA6" s="12" t="str">
        <f t="shared" si="5"/>
        <v>T</v>
      </c>
      <c r="BB6" s="12" t="str">
        <f t="shared" si="5"/>
        <v>W</v>
      </c>
      <c r="BC6" s="12" t="str">
        <f t="shared" si="5"/>
        <v>T</v>
      </c>
      <c r="BD6" s="12" t="str">
        <f t="shared" si="5"/>
        <v>F</v>
      </c>
      <c r="BE6" s="12" t="str">
        <f t="shared" si="5"/>
        <v>S</v>
      </c>
      <c r="BF6" s="12" t="str">
        <f t="shared" si="5"/>
        <v>S</v>
      </c>
      <c r="BG6" s="12" t="str">
        <f t="shared" si="5"/>
        <v>M</v>
      </c>
      <c r="BH6" s="12" t="str">
        <f t="shared" si="5"/>
        <v>T</v>
      </c>
      <c r="BI6" s="12" t="str">
        <f t="shared" si="5"/>
        <v>W</v>
      </c>
      <c r="BJ6" s="12" t="str">
        <f t="shared" si="5"/>
        <v>T</v>
      </c>
      <c r="BK6" s="12" t="str">
        <f t="shared" si="5"/>
        <v>F</v>
      </c>
      <c r="BL6" s="12" t="str">
        <f t="shared" si="5"/>
        <v>S</v>
      </c>
      <c r="BM6" s="12" t="str">
        <f t="shared" si="5"/>
        <v>S</v>
      </c>
    </row>
    <row r="7" spans="1:65" ht="30" hidden="1" customHeight="1" thickBot="1">
      <c r="A7" s="26" t="s">
        <v>17</v>
      </c>
      <c r="B7" s="45"/>
      <c r="C7" s="46"/>
      <c r="D7" s="45"/>
      <c r="E7" s="45"/>
      <c r="F7" s="45"/>
      <c r="G7" s="45"/>
      <c r="I7" t="str">
        <f ca="1">IF(OR(ISBLANK(task_start),ISBLANK(task_end)),"",task_end-task_start+1)</f>
        <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row>
    <row r="8" spans="1:65" s="3" customFormat="1" ht="30" customHeight="1" thickBot="1">
      <c r="A8" s="26" t="s">
        <v>18</v>
      </c>
      <c r="B8" s="115" t="s">
        <v>19</v>
      </c>
      <c r="C8" s="47"/>
      <c r="D8" s="48"/>
      <c r="E8" s="49"/>
      <c r="F8" s="50"/>
      <c r="G8" s="51"/>
      <c r="H8" s="16"/>
      <c r="I8" s="16" t="str">
        <f t="shared" ref="I8:I70" ca="1" si="6">IF(OR(ISBLANK(task_start),ISBLANK(task_end)),"",task_end-task_start+1)</f>
        <v/>
      </c>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row>
    <row r="9" spans="1:65" s="3" customFormat="1" ht="30" customHeight="1" thickBot="1">
      <c r="A9" s="26"/>
      <c r="B9" s="52" t="s">
        <v>20</v>
      </c>
      <c r="C9" s="53" t="s">
        <v>21</v>
      </c>
      <c r="D9" s="54">
        <v>1</v>
      </c>
      <c r="E9" s="55">
        <v>44930</v>
      </c>
      <c r="F9" s="55">
        <v>44939</v>
      </c>
      <c r="G9" s="56">
        <f t="shared" ref="G9:G23" si="7">NETWORKDAYS(E9,F9)</f>
        <v>8</v>
      </c>
      <c r="H9" s="16"/>
      <c r="I9" s="16"/>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row>
    <row r="10" spans="1:65" s="3" customFormat="1" ht="30" customHeight="1" thickBot="1">
      <c r="A10" s="26"/>
      <c r="B10" s="52" t="s">
        <v>22</v>
      </c>
      <c r="C10" s="53" t="s">
        <v>23</v>
      </c>
      <c r="D10" s="54">
        <v>1</v>
      </c>
      <c r="E10" s="55">
        <v>44939</v>
      </c>
      <c r="F10" s="55">
        <v>44939</v>
      </c>
      <c r="G10" s="56">
        <f t="shared" si="7"/>
        <v>1</v>
      </c>
      <c r="H10" s="16"/>
      <c r="I10" s="16"/>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row>
    <row r="11" spans="1:65" s="3" customFormat="1" ht="30" customHeight="1" thickBot="1">
      <c r="A11" s="26"/>
      <c r="B11" s="116" t="s">
        <v>24</v>
      </c>
      <c r="C11" s="57"/>
      <c r="D11" s="58"/>
      <c r="E11" s="59"/>
      <c r="F11" s="59"/>
      <c r="G11" s="60"/>
      <c r="H11" s="16"/>
      <c r="I11" s="16"/>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row>
    <row r="12" spans="1:65" s="3" customFormat="1" ht="30" customHeight="1" thickBot="1">
      <c r="A12" s="26"/>
      <c r="B12" s="61" t="s">
        <v>25</v>
      </c>
      <c r="C12" s="62" t="s">
        <v>21</v>
      </c>
      <c r="D12" s="63">
        <v>1</v>
      </c>
      <c r="E12" s="64">
        <v>44936</v>
      </c>
      <c r="F12" s="64">
        <v>44936</v>
      </c>
      <c r="G12" s="65">
        <f t="shared" ref="G12:G13" si="8">NETWORKDAYS(E12,F12)</f>
        <v>1</v>
      </c>
      <c r="H12" s="16"/>
      <c r="I12" s="16"/>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row>
    <row r="13" spans="1:65" s="3" customFormat="1" ht="30" customHeight="1" thickBot="1">
      <c r="A13" s="26"/>
      <c r="B13" s="61" t="s">
        <v>26</v>
      </c>
      <c r="C13" s="62" t="s">
        <v>23</v>
      </c>
      <c r="D13" s="63">
        <v>1</v>
      </c>
      <c r="E13" s="64">
        <v>44939</v>
      </c>
      <c r="F13" s="64">
        <v>44939</v>
      </c>
      <c r="G13" s="65">
        <f t="shared" si="8"/>
        <v>1</v>
      </c>
      <c r="H13" s="16"/>
      <c r="I13" s="16"/>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row>
    <row r="14" spans="1:65" s="3" customFormat="1" ht="41.1" thickBot="1">
      <c r="A14" s="26"/>
      <c r="B14" s="61" t="s">
        <v>27</v>
      </c>
      <c r="C14" s="62" t="s">
        <v>23</v>
      </c>
      <c r="D14" s="63">
        <v>0</v>
      </c>
      <c r="E14" s="64">
        <v>44939</v>
      </c>
      <c r="F14" s="64">
        <v>44939</v>
      </c>
      <c r="G14" s="65">
        <f t="shared" ref="G14:G15" si="9">NETWORKDAYS(E14,F14)</f>
        <v>1</v>
      </c>
      <c r="H14" s="16"/>
      <c r="I14" s="16"/>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row>
    <row r="15" spans="1:65" s="3" customFormat="1" ht="41.1" thickBot="1">
      <c r="A15" s="26"/>
      <c r="B15" s="61" t="s">
        <v>28</v>
      </c>
      <c r="C15" s="62" t="s">
        <v>23</v>
      </c>
      <c r="D15" s="63">
        <v>0</v>
      </c>
      <c r="E15" s="64">
        <v>44939</v>
      </c>
      <c r="F15" s="64">
        <v>44939</v>
      </c>
      <c r="G15" s="65">
        <f t="shared" si="9"/>
        <v>1</v>
      </c>
      <c r="H15" s="16"/>
      <c r="I15" s="16"/>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row>
    <row r="16" spans="1:65" s="3" customFormat="1" ht="30.95" customHeight="1" thickBot="1">
      <c r="A16" s="26"/>
      <c r="B16" s="137" t="s">
        <v>29</v>
      </c>
      <c r="C16" s="138"/>
      <c r="D16" s="138"/>
      <c r="E16" s="138"/>
      <c r="F16" s="138"/>
      <c r="G16" s="138"/>
      <c r="H16" s="16"/>
      <c r="I16" s="16"/>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row>
    <row r="17" spans="1:65" s="3" customFormat="1" ht="30" customHeight="1" thickBot="1">
      <c r="A17" s="26"/>
      <c r="B17" s="61" t="s">
        <v>30</v>
      </c>
      <c r="C17" s="62" t="s">
        <v>31</v>
      </c>
      <c r="D17" s="63">
        <v>0</v>
      </c>
      <c r="E17" s="64">
        <v>44942</v>
      </c>
      <c r="F17" s="64">
        <v>44942</v>
      </c>
      <c r="G17" s="65">
        <f t="shared" ref="G17" si="10">NETWORKDAYS(E17,F17)</f>
        <v>1</v>
      </c>
      <c r="H17" s="16"/>
      <c r="I17" s="16"/>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row>
    <row r="18" spans="1:65" s="3" customFormat="1" ht="20.100000000000001" thickBot="1">
      <c r="A18" s="26"/>
      <c r="B18" s="137" t="s">
        <v>32</v>
      </c>
      <c r="C18" s="138"/>
      <c r="D18" s="138"/>
      <c r="E18" s="138"/>
      <c r="F18" s="138"/>
      <c r="G18" s="138"/>
      <c r="H18" s="16"/>
      <c r="I18" s="16"/>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row>
    <row r="19" spans="1:65" s="3" customFormat="1" ht="30" customHeight="1" thickBot="1">
      <c r="A19" s="26"/>
      <c r="B19" s="61" t="s">
        <v>33</v>
      </c>
      <c r="C19" s="62"/>
      <c r="D19" s="63"/>
      <c r="E19" s="64"/>
      <c r="F19" s="64"/>
      <c r="G19" s="65"/>
      <c r="H19" s="16"/>
      <c r="I19" s="16"/>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row>
    <row r="20" spans="1:65" s="3" customFormat="1" ht="30" customHeight="1" thickBot="1">
      <c r="A20" s="26"/>
      <c r="B20" s="61" t="s">
        <v>34</v>
      </c>
      <c r="C20" s="62" t="s">
        <v>23</v>
      </c>
      <c r="D20" s="63">
        <v>0</v>
      </c>
      <c r="E20" s="64">
        <v>44942</v>
      </c>
      <c r="F20" s="64">
        <v>44944</v>
      </c>
      <c r="G20" s="65">
        <f t="shared" si="7"/>
        <v>3</v>
      </c>
      <c r="H20" s="16"/>
      <c r="I20" s="16">
        <f t="shared" ca="1" si="6"/>
        <v>3</v>
      </c>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row>
    <row r="21" spans="1:65" s="3" customFormat="1" ht="45.95" customHeight="1" thickBot="1">
      <c r="A21" s="26"/>
      <c r="B21" s="137" t="s">
        <v>35</v>
      </c>
      <c r="C21" s="138"/>
      <c r="D21" s="138"/>
      <c r="E21" s="138"/>
      <c r="F21" s="138"/>
      <c r="G21" s="138"/>
      <c r="H21" s="16"/>
      <c r="I21" s="16"/>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row>
    <row r="22" spans="1:65" s="3" customFormat="1" ht="21" thickBot="1">
      <c r="A22" s="26"/>
      <c r="B22" s="96" t="s">
        <v>36</v>
      </c>
      <c r="C22" s="97"/>
      <c r="D22" s="97"/>
      <c r="E22" s="64">
        <v>44942</v>
      </c>
      <c r="F22" s="64">
        <v>44953</v>
      </c>
      <c r="G22" s="65">
        <f t="shared" ref="G22" si="11">NETWORKDAYS(E22,F22)</f>
        <v>10</v>
      </c>
      <c r="H22" s="16"/>
      <c r="I22" s="16"/>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row>
    <row r="23" spans="1:65" s="3" customFormat="1" ht="45" customHeight="1" thickBot="1">
      <c r="A23" s="26"/>
      <c r="B23" s="61" t="s">
        <v>37</v>
      </c>
      <c r="C23" s="62" t="s">
        <v>38</v>
      </c>
      <c r="D23" s="63"/>
      <c r="E23" s="64">
        <v>44953</v>
      </c>
      <c r="F23" s="64">
        <v>44953</v>
      </c>
      <c r="G23" s="65">
        <f t="shared" si="7"/>
        <v>1</v>
      </c>
      <c r="H23" s="16"/>
      <c r="I23" s="16"/>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row>
    <row r="24" spans="1:65" s="3" customFormat="1" ht="30" customHeight="1" thickBot="1">
      <c r="A24" s="26"/>
      <c r="B24" s="98" t="s">
        <v>39</v>
      </c>
      <c r="C24" s="66"/>
      <c r="D24" s="67"/>
      <c r="E24" s="68">
        <v>44956</v>
      </c>
      <c r="F24" s="68">
        <v>44956</v>
      </c>
      <c r="G24" s="69">
        <f t="shared" ref="G24" si="12">NETWORKDAYS(E24,F24)</f>
        <v>1</v>
      </c>
      <c r="H24" s="16"/>
      <c r="I24" s="16"/>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row>
    <row r="25" spans="1:65" s="3" customFormat="1" ht="30" customHeight="1" thickBot="1">
      <c r="A25" s="26"/>
      <c r="B25" s="61" t="s">
        <v>40</v>
      </c>
      <c r="C25" s="62" t="s">
        <v>23</v>
      </c>
      <c r="D25" s="63"/>
      <c r="E25" s="64">
        <v>44956</v>
      </c>
      <c r="F25" s="64">
        <v>44958</v>
      </c>
      <c r="G25" s="69"/>
      <c r="H25" s="16"/>
      <c r="I25" s="16"/>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row>
    <row r="26" spans="1:65" s="3" customFormat="1" ht="30" customHeight="1" thickBot="1">
      <c r="A26" s="26"/>
      <c r="B26" s="117" t="s">
        <v>41</v>
      </c>
      <c r="C26" s="70"/>
      <c r="D26" s="71"/>
      <c r="E26" s="72"/>
      <c r="F26" s="72"/>
      <c r="G26" s="73"/>
      <c r="H26" s="16"/>
      <c r="I26" s="16"/>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row>
    <row r="27" spans="1:65" s="3" customFormat="1" ht="30" customHeight="1" thickBot="1">
      <c r="A27" s="26"/>
      <c r="B27" s="74" t="s">
        <v>42</v>
      </c>
      <c r="C27" s="75" t="s">
        <v>21</v>
      </c>
      <c r="D27" s="76">
        <v>0</v>
      </c>
      <c r="E27" s="77">
        <v>44963</v>
      </c>
      <c r="F27" s="77">
        <v>44965</v>
      </c>
      <c r="G27" s="78">
        <f t="shared" ref="G27:G29" si="13">NETWORKDAYS(E27,F27)</f>
        <v>3</v>
      </c>
      <c r="H27" s="16"/>
      <c r="I27" s="16"/>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row>
    <row r="28" spans="1:65" s="3" customFormat="1" ht="30" customHeight="1" thickBot="1">
      <c r="A28" s="26"/>
      <c r="B28" s="74" t="s">
        <v>26</v>
      </c>
      <c r="C28" s="75" t="s">
        <v>23</v>
      </c>
      <c r="D28" s="76">
        <v>0</v>
      </c>
      <c r="E28" s="77">
        <v>44967</v>
      </c>
      <c r="F28" s="77">
        <v>44967</v>
      </c>
      <c r="G28" s="78">
        <f t="shared" si="13"/>
        <v>1</v>
      </c>
      <c r="H28" s="16"/>
      <c r="I28" s="16"/>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row>
    <row r="29" spans="1:65" s="3" customFormat="1" ht="30" customHeight="1" thickBot="1">
      <c r="A29" s="26"/>
      <c r="B29" s="74" t="s">
        <v>43</v>
      </c>
      <c r="C29" s="75" t="s">
        <v>23</v>
      </c>
      <c r="D29" s="76">
        <v>0</v>
      </c>
      <c r="E29" s="77">
        <v>44967</v>
      </c>
      <c r="F29" s="77">
        <v>44967</v>
      </c>
      <c r="G29" s="78">
        <f t="shared" si="13"/>
        <v>1</v>
      </c>
      <c r="H29" s="16"/>
      <c r="I29" s="16"/>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row>
    <row r="30" spans="1:65" s="3" customFormat="1" ht="30" customHeight="1" thickBot="1">
      <c r="A30" s="26"/>
      <c r="B30" s="74" t="s">
        <v>30</v>
      </c>
      <c r="C30" s="75" t="s">
        <v>31</v>
      </c>
      <c r="D30" s="76">
        <v>0</v>
      </c>
      <c r="E30" s="77">
        <v>44967</v>
      </c>
      <c r="F30" s="77">
        <v>44967</v>
      </c>
      <c r="G30" s="78">
        <f>NETWORKDAYS(E30,F30)</f>
        <v>1</v>
      </c>
      <c r="H30" s="16"/>
      <c r="I30" s="16"/>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row>
    <row r="31" spans="1:65" s="3" customFormat="1" ht="59.1" customHeight="1" thickBot="1">
      <c r="A31" s="26"/>
      <c r="B31" s="132" t="s">
        <v>44</v>
      </c>
      <c r="C31" s="121"/>
      <c r="D31" s="121"/>
      <c r="E31" s="121"/>
      <c r="F31" s="121"/>
      <c r="G31" s="121"/>
      <c r="H31" s="16"/>
      <c r="I31" s="16"/>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row>
    <row r="32" spans="1:65" s="3" customFormat="1" ht="30" customHeight="1" thickBot="1">
      <c r="A32" s="26"/>
      <c r="B32" s="74" t="s">
        <v>45</v>
      </c>
      <c r="C32" s="75"/>
      <c r="D32" s="76"/>
      <c r="E32" s="77">
        <v>44970</v>
      </c>
      <c r="F32" s="77">
        <v>44974</v>
      </c>
      <c r="G32" s="78">
        <f>NETWORKDAYS(E32,F32)</f>
        <v>5</v>
      </c>
      <c r="H32" s="16"/>
      <c r="I32" s="16"/>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row>
    <row r="33" spans="1:65" s="3" customFormat="1" ht="30" customHeight="1" thickBot="1">
      <c r="A33" s="26"/>
      <c r="B33" s="74" t="s">
        <v>46</v>
      </c>
      <c r="C33" s="75" t="s">
        <v>23</v>
      </c>
      <c r="D33" s="76">
        <v>0</v>
      </c>
      <c r="E33" s="77">
        <v>44970</v>
      </c>
      <c r="F33" s="77">
        <v>44972</v>
      </c>
      <c r="G33" s="78">
        <f t="shared" ref="G33:G38" si="14">NETWORKDAYS(E33,F33)</f>
        <v>3</v>
      </c>
      <c r="H33" s="16"/>
      <c r="I33" s="16">
        <f t="shared" ca="1" si="6"/>
        <v>3</v>
      </c>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row>
    <row r="34" spans="1:65" s="3" customFormat="1" ht="44.1" customHeight="1" thickBot="1">
      <c r="A34" s="26"/>
      <c r="B34" s="132" t="s">
        <v>35</v>
      </c>
      <c r="C34" s="133"/>
      <c r="D34" s="133"/>
      <c r="E34" s="133"/>
      <c r="F34" s="133"/>
      <c r="G34" s="133"/>
      <c r="H34" s="16"/>
      <c r="I34" s="16"/>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row>
    <row r="35" spans="1:65" s="3" customFormat="1" ht="30" customHeight="1" thickBot="1">
      <c r="A35" s="26"/>
      <c r="B35" s="74" t="s">
        <v>47</v>
      </c>
      <c r="C35" s="75" t="s">
        <v>23</v>
      </c>
      <c r="D35" s="76">
        <v>0</v>
      </c>
      <c r="E35" s="77">
        <v>44970</v>
      </c>
      <c r="F35" s="77">
        <v>44972</v>
      </c>
      <c r="G35" s="78">
        <f t="shared" ref="G35" si="15">NETWORKDAYS(E35,F35)</f>
        <v>3</v>
      </c>
      <c r="H35" s="16"/>
      <c r="I35" s="16">
        <f t="shared" ca="1" si="6"/>
        <v>3</v>
      </c>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row>
    <row r="36" spans="1:65" s="3" customFormat="1" ht="57.95" customHeight="1" thickBot="1">
      <c r="A36" s="26"/>
      <c r="B36" s="132" t="s">
        <v>48</v>
      </c>
      <c r="C36" s="133"/>
      <c r="D36" s="133"/>
      <c r="E36" s="133"/>
      <c r="F36" s="133"/>
      <c r="G36" s="133"/>
      <c r="H36" s="16"/>
      <c r="I36" s="16"/>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row>
    <row r="37" spans="1:65" s="3" customFormat="1" ht="42" customHeight="1" thickBot="1">
      <c r="A37" s="26"/>
      <c r="B37" s="74" t="s">
        <v>37</v>
      </c>
      <c r="C37" s="75" t="s">
        <v>38</v>
      </c>
      <c r="D37" s="76"/>
      <c r="E37" s="77">
        <v>44974</v>
      </c>
      <c r="F37" s="77">
        <v>44974</v>
      </c>
      <c r="G37" s="78">
        <f t="shared" si="14"/>
        <v>1</v>
      </c>
      <c r="H37" s="16"/>
      <c r="I37" s="16"/>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row>
    <row r="38" spans="1:65" s="3" customFormat="1" ht="30" customHeight="1" thickBot="1">
      <c r="A38" s="26"/>
      <c r="B38" s="99" t="s">
        <v>39</v>
      </c>
      <c r="C38" s="79"/>
      <c r="D38" s="80"/>
      <c r="E38" s="81">
        <v>44977</v>
      </c>
      <c r="F38" s="81">
        <v>44977</v>
      </c>
      <c r="G38" s="82">
        <f t="shared" si="14"/>
        <v>1</v>
      </c>
      <c r="H38" s="16"/>
      <c r="I38" s="16"/>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row>
    <row r="39" spans="1:65" s="3" customFormat="1" ht="30" customHeight="1" thickBot="1">
      <c r="A39" s="26"/>
      <c r="B39" s="74" t="s">
        <v>40</v>
      </c>
      <c r="C39" s="75" t="s">
        <v>23</v>
      </c>
      <c r="D39" s="76"/>
      <c r="E39" s="77">
        <v>44977</v>
      </c>
      <c r="F39" s="77">
        <v>44979</v>
      </c>
      <c r="G39" s="82"/>
      <c r="H39" s="16"/>
      <c r="I39" s="16"/>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row>
    <row r="40" spans="1:65" s="3" customFormat="1" ht="30" customHeight="1" thickBot="1">
      <c r="A40" s="26"/>
      <c r="B40" s="118" t="s">
        <v>49</v>
      </c>
      <c r="C40" s="83"/>
      <c r="D40" s="84"/>
      <c r="E40" s="85"/>
      <c r="F40" s="85"/>
      <c r="G40" s="86"/>
      <c r="H40" s="16"/>
      <c r="I40" s="16"/>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row>
    <row r="41" spans="1:65" s="3" customFormat="1" ht="30" customHeight="1" thickBot="1">
      <c r="A41" s="26"/>
      <c r="B41" s="87" t="s">
        <v>50</v>
      </c>
      <c r="C41" s="88" t="s">
        <v>21</v>
      </c>
      <c r="D41" s="89">
        <v>0</v>
      </c>
      <c r="E41" s="90">
        <v>44978</v>
      </c>
      <c r="F41" s="90">
        <v>44980</v>
      </c>
      <c r="G41" s="91">
        <f t="shared" ref="G41:G43" si="16">NETWORKDAYS(E41,F41)</f>
        <v>3</v>
      </c>
      <c r="H41" s="16"/>
      <c r="I41" s="16"/>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row>
    <row r="42" spans="1:65" s="3" customFormat="1" ht="30" customHeight="1" thickBot="1">
      <c r="A42" s="26"/>
      <c r="B42" s="87" t="s">
        <v>26</v>
      </c>
      <c r="C42" s="88" t="s">
        <v>23</v>
      </c>
      <c r="D42" s="89">
        <v>0</v>
      </c>
      <c r="E42" s="90">
        <v>44981</v>
      </c>
      <c r="F42" s="90">
        <v>44981</v>
      </c>
      <c r="G42" s="91">
        <f t="shared" si="16"/>
        <v>1</v>
      </c>
      <c r="H42" s="16"/>
      <c r="I42" s="16"/>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row>
    <row r="43" spans="1:65" s="3" customFormat="1" ht="30" customHeight="1" thickBot="1">
      <c r="A43" s="26"/>
      <c r="B43" s="87" t="s">
        <v>43</v>
      </c>
      <c r="C43" s="88" t="s">
        <v>23</v>
      </c>
      <c r="D43" s="89">
        <v>0</v>
      </c>
      <c r="E43" s="90">
        <v>44981</v>
      </c>
      <c r="F43" s="90">
        <v>44981</v>
      </c>
      <c r="G43" s="91">
        <f t="shared" si="16"/>
        <v>1</v>
      </c>
      <c r="H43" s="16"/>
      <c r="I43" s="16"/>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row>
    <row r="44" spans="1:65" s="3" customFormat="1" ht="30" customHeight="1" thickBot="1">
      <c r="A44" s="26"/>
      <c r="B44" s="87" t="s">
        <v>30</v>
      </c>
      <c r="C44" s="88" t="s">
        <v>31</v>
      </c>
      <c r="D44" s="89">
        <v>0</v>
      </c>
      <c r="E44" s="90">
        <v>44981</v>
      </c>
      <c r="F44" s="90">
        <v>44981</v>
      </c>
      <c r="G44" s="91">
        <f>NETWORKDAYS(E44,F44)</f>
        <v>1</v>
      </c>
      <c r="H44" s="16"/>
      <c r="I44" s="16"/>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row>
    <row r="45" spans="1:65" s="3" customFormat="1" ht="62.1" customHeight="1" thickBot="1">
      <c r="A45" s="26"/>
      <c r="B45" s="134" t="s">
        <v>44</v>
      </c>
      <c r="C45" s="136"/>
      <c r="D45" s="136"/>
      <c r="E45" s="136"/>
      <c r="F45" s="136"/>
      <c r="G45" s="136"/>
      <c r="H45" s="16"/>
      <c r="I45" s="16" t="str">
        <f t="shared" ca="1" si="6"/>
        <v/>
      </c>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row>
    <row r="46" spans="1:65" s="3" customFormat="1" ht="30" customHeight="1" thickBot="1">
      <c r="A46" s="26"/>
      <c r="B46" s="126" t="s">
        <v>51</v>
      </c>
      <c r="C46" s="127"/>
      <c r="D46" s="89"/>
      <c r="E46" s="90">
        <v>44984</v>
      </c>
      <c r="F46" s="90">
        <v>44988</v>
      </c>
      <c r="G46" s="91">
        <f>NETWORKDAYS(E46,F46)</f>
        <v>5</v>
      </c>
      <c r="H46" s="16"/>
      <c r="I46" s="16"/>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row>
    <row r="47" spans="1:65" s="3" customFormat="1" ht="30" customHeight="1" thickBot="1">
      <c r="A47" s="26"/>
      <c r="B47" s="87" t="s">
        <v>52</v>
      </c>
      <c r="C47" s="88" t="s">
        <v>23</v>
      </c>
      <c r="D47" s="89">
        <v>0</v>
      </c>
      <c r="E47" s="90">
        <v>44984</v>
      </c>
      <c r="F47" s="90">
        <v>44984</v>
      </c>
      <c r="G47" s="91">
        <f t="shared" ref="G47" si="17">NETWORKDAYS(E47,F47)</f>
        <v>1</v>
      </c>
      <c r="H47" s="16"/>
      <c r="I47" s="16">
        <f t="shared" ca="1" si="6"/>
        <v>1</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row>
    <row r="48" spans="1:65" s="3" customFormat="1" ht="48" customHeight="1" thickBot="1">
      <c r="A48" s="26"/>
      <c r="B48" s="134" t="s">
        <v>35</v>
      </c>
      <c r="C48" s="135"/>
      <c r="D48" s="135"/>
      <c r="E48" s="135"/>
      <c r="F48" s="135"/>
      <c r="G48" s="135"/>
      <c r="H48" s="16"/>
      <c r="I48" s="16"/>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row>
    <row r="49" spans="1:65" s="3" customFormat="1" ht="30" customHeight="1" thickBot="1">
      <c r="A49" s="26"/>
      <c r="B49" s="87" t="s">
        <v>53</v>
      </c>
      <c r="C49" s="88" t="s">
        <v>23</v>
      </c>
      <c r="D49" s="89">
        <v>0</v>
      </c>
      <c r="E49" s="90">
        <v>44984</v>
      </c>
      <c r="F49" s="90">
        <v>44984</v>
      </c>
      <c r="G49" s="91">
        <f t="shared" ref="G49" si="18">NETWORKDAYS(E49,F49)</f>
        <v>1</v>
      </c>
      <c r="H49" s="16"/>
      <c r="I49" s="16"/>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row>
    <row r="50" spans="1:65" s="3" customFormat="1" ht="60" customHeight="1" thickBot="1">
      <c r="A50" s="26"/>
      <c r="B50" s="134" t="s">
        <v>48</v>
      </c>
      <c r="C50" s="135"/>
      <c r="D50" s="135"/>
      <c r="E50" s="135"/>
      <c r="F50" s="135"/>
      <c r="G50" s="135"/>
      <c r="H50" s="16"/>
      <c r="I50" s="16"/>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row>
    <row r="51" spans="1:65" s="3" customFormat="1" ht="42" customHeight="1" thickBot="1">
      <c r="A51" s="26"/>
      <c r="B51" s="87" t="s">
        <v>37</v>
      </c>
      <c r="C51" s="88" t="s">
        <v>38</v>
      </c>
      <c r="D51" s="89"/>
      <c r="E51" s="90">
        <v>44988</v>
      </c>
      <c r="F51" s="90">
        <v>44988</v>
      </c>
      <c r="G51" s="91">
        <f t="shared" ref="G51:G52" si="19">NETWORKDAYS(E51,F51)</f>
        <v>1</v>
      </c>
      <c r="H51" s="16"/>
      <c r="I51" s="16"/>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row>
    <row r="52" spans="1:65" s="3" customFormat="1" ht="30" customHeight="1" thickBot="1">
      <c r="A52" s="26" t="s">
        <v>54</v>
      </c>
      <c r="B52" s="100" t="s">
        <v>39</v>
      </c>
      <c r="C52" s="92"/>
      <c r="D52" s="93"/>
      <c r="E52" s="94">
        <v>44991</v>
      </c>
      <c r="F52" s="94">
        <v>44991</v>
      </c>
      <c r="G52" s="95">
        <f t="shared" si="19"/>
        <v>1</v>
      </c>
      <c r="H52" s="16"/>
      <c r="I52" s="16">
        <f t="shared" ca="1" si="6"/>
        <v>1</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row>
    <row r="53" spans="1:65" s="3" customFormat="1" ht="30" customHeight="1" thickBot="1">
      <c r="A53" s="27" t="s">
        <v>55</v>
      </c>
      <c r="B53" s="87" t="s">
        <v>40</v>
      </c>
      <c r="C53" s="88" t="s">
        <v>23</v>
      </c>
      <c r="D53" s="89"/>
      <c r="E53" s="90">
        <v>44991</v>
      </c>
      <c r="F53" s="90">
        <v>44993</v>
      </c>
      <c r="G53" s="95"/>
      <c r="H53" s="16"/>
      <c r="I53" s="16"/>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row>
    <row r="54" spans="1:65" s="3" customFormat="1" ht="30" customHeight="1" thickBot="1">
      <c r="A54" s="26"/>
      <c r="B54" s="119" t="s">
        <v>56</v>
      </c>
      <c r="C54" s="111"/>
      <c r="D54" s="112"/>
      <c r="E54" s="113"/>
      <c r="F54" s="113"/>
      <c r="G54" s="114"/>
      <c r="H54" s="16"/>
      <c r="I54" s="16"/>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row>
    <row r="55" spans="1:65" s="3" customFormat="1" ht="30" customHeight="1" thickBot="1">
      <c r="A55" s="26"/>
      <c r="B55" s="124" t="s">
        <v>57</v>
      </c>
      <c r="C55" s="125"/>
      <c r="D55" s="125"/>
      <c r="E55" s="125"/>
      <c r="F55" s="125"/>
      <c r="G55" s="125"/>
      <c r="H55" s="16"/>
      <c r="I55" s="16"/>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row>
    <row r="56" spans="1:65" s="3" customFormat="1" ht="30" customHeight="1" thickBot="1">
      <c r="A56" s="26"/>
      <c r="B56" s="105" t="s">
        <v>58</v>
      </c>
      <c r="C56" s="106" t="s">
        <v>21</v>
      </c>
      <c r="D56" s="107">
        <v>0</v>
      </c>
      <c r="E56" s="108">
        <v>44978</v>
      </c>
      <c r="F56" s="108">
        <v>44980</v>
      </c>
      <c r="G56" s="109">
        <f t="shared" ref="G56:G58" si="20">NETWORKDAYS(E56,F56)</f>
        <v>3</v>
      </c>
      <c r="H56" s="16"/>
      <c r="I56" s="16"/>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row>
    <row r="57" spans="1:65" s="3" customFormat="1" ht="30" customHeight="1" thickBot="1">
      <c r="A57" s="26"/>
      <c r="B57" s="105" t="s">
        <v>26</v>
      </c>
      <c r="C57" s="106" t="s">
        <v>23</v>
      </c>
      <c r="D57" s="107">
        <v>0</v>
      </c>
      <c r="E57" s="108">
        <v>44981</v>
      </c>
      <c r="F57" s="108">
        <v>44981</v>
      </c>
      <c r="G57" s="109">
        <f t="shared" si="20"/>
        <v>1</v>
      </c>
      <c r="H57" s="16"/>
      <c r="I57" s="16"/>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row>
    <row r="58" spans="1:65" s="3" customFormat="1" ht="30" customHeight="1" thickBot="1">
      <c r="A58" s="26"/>
      <c r="B58" s="105" t="s">
        <v>43</v>
      </c>
      <c r="C58" s="106" t="s">
        <v>23</v>
      </c>
      <c r="D58" s="107">
        <v>0</v>
      </c>
      <c r="E58" s="108">
        <v>44981</v>
      </c>
      <c r="F58" s="108">
        <v>44981</v>
      </c>
      <c r="G58" s="109">
        <f t="shared" si="20"/>
        <v>1</v>
      </c>
      <c r="H58" s="16"/>
      <c r="I58" s="16"/>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row>
    <row r="59" spans="1:65" s="3" customFormat="1" ht="30" customHeight="1" thickBot="1">
      <c r="A59" s="26"/>
      <c r="B59" s="105" t="s">
        <v>30</v>
      </c>
      <c r="C59" s="106" t="s">
        <v>31</v>
      </c>
      <c r="D59" s="107">
        <v>0</v>
      </c>
      <c r="E59" s="108">
        <v>44981</v>
      </c>
      <c r="F59" s="108">
        <v>44981</v>
      </c>
      <c r="G59" s="109">
        <f>NETWORKDAYS(E59,F59)</f>
        <v>1</v>
      </c>
      <c r="H59" s="16"/>
      <c r="I59" s="16"/>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row>
    <row r="60" spans="1:65" s="3" customFormat="1" ht="30" customHeight="1" thickBot="1">
      <c r="A60" s="26"/>
      <c r="B60" s="120" t="s">
        <v>59</v>
      </c>
      <c r="C60" s="121"/>
      <c r="D60" s="121"/>
      <c r="E60" s="121"/>
      <c r="F60" s="121"/>
      <c r="G60" s="121"/>
      <c r="H60" s="16"/>
      <c r="I60" s="16" t="str">
        <f t="shared" ca="1" si="6"/>
        <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row>
    <row r="61" spans="1:65" s="3" customFormat="1" ht="30" customHeight="1" thickBot="1">
      <c r="A61" s="26"/>
      <c r="B61" s="128" t="s">
        <v>60</v>
      </c>
      <c r="C61" s="127"/>
      <c r="D61" s="107"/>
      <c r="E61" s="108">
        <v>44984</v>
      </c>
      <c r="F61" s="108">
        <v>44988</v>
      </c>
      <c r="G61" s="109">
        <f>NETWORKDAYS(E61,F61)</f>
        <v>5</v>
      </c>
      <c r="H61" s="16"/>
      <c r="I61" s="16"/>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row>
    <row r="62" spans="1:65" s="3" customFormat="1" ht="30" customHeight="1" thickBot="1">
      <c r="A62" s="26"/>
      <c r="B62" s="105" t="s">
        <v>52</v>
      </c>
      <c r="C62" s="106" t="s">
        <v>23</v>
      </c>
      <c r="D62" s="107">
        <v>0</v>
      </c>
      <c r="E62" s="108">
        <v>44984</v>
      </c>
      <c r="F62" s="108">
        <v>44984</v>
      </c>
      <c r="G62" s="109">
        <f t="shared" ref="G62" si="21">NETWORKDAYS(E62,F62)</f>
        <v>1</v>
      </c>
      <c r="H62" s="16"/>
      <c r="I62" s="16">
        <f t="shared" ca="1" si="6"/>
        <v>1</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row>
    <row r="63" spans="1:65" s="3" customFormat="1" ht="48" customHeight="1" thickBot="1">
      <c r="A63" s="26"/>
      <c r="B63" s="122" t="s">
        <v>35</v>
      </c>
      <c r="C63" s="123"/>
      <c r="D63" s="123"/>
      <c r="E63" s="123"/>
      <c r="F63" s="123"/>
      <c r="G63" s="123"/>
      <c r="H63" s="16"/>
      <c r="I63" s="16"/>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row>
    <row r="64" spans="1:65" s="3" customFormat="1" ht="30" customHeight="1" thickBot="1">
      <c r="A64" s="26"/>
      <c r="B64" s="105" t="s">
        <v>53</v>
      </c>
      <c r="C64" s="106" t="s">
        <v>23</v>
      </c>
      <c r="D64" s="107">
        <v>0</v>
      </c>
      <c r="E64" s="108">
        <v>44984</v>
      </c>
      <c r="F64" s="108">
        <v>44984</v>
      </c>
      <c r="G64" s="109">
        <f t="shared" ref="G64" si="22">NETWORKDAYS(E64,F64)</f>
        <v>1</v>
      </c>
      <c r="H64" s="16"/>
      <c r="I64" s="16"/>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row>
    <row r="65" spans="1:65" s="3" customFormat="1" ht="60" customHeight="1" thickBot="1">
      <c r="A65" s="26"/>
      <c r="B65" s="122" t="s">
        <v>48</v>
      </c>
      <c r="C65" s="123"/>
      <c r="D65" s="123"/>
      <c r="E65" s="123"/>
      <c r="F65" s="123"/>
      <c r="G65" s="123"/>
      <c r="H65" s="16"/>
      <c r="I65" s="16"/>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row>
    <row r="66" spans="1:65" s="3" customFormat="1" ht="42" customHeight="1" thickBot="1">
      <c r="A66" s="26"/>
      <c r="B66" s="105" t="s">
        <v>37</v>
      </c>
      <c r="C66" s="106" t="s">
        <v>38</v>
      </c>
      <c r="D66" s="107"/>
      <c r="E66" s="108">
        <v>44988</v>
      </c>
      <c r="F66" s="108">
        <v>44988</v>
      </c>
      <c r="G66" s="109">
        <f t="shared" ref="G66:G67" si="23">NETWORKDAYS(E66,F66)</f>
        <v>1</v>
      </c>
      <c r="H66" s="16"/>
      <c r="I66" s="16"/>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row>
    <row r="67" spans="1:65" s="3" customFormat="1" ht="30" customHeight="1" thickBot="1">
      <c r="A67" s="26" t="s">
        <v>54</v>
      </c>
      <c r="B67" s="110" t="s">
        <v>39</v>
      </c>
      <c r="C67" s="101"/>
      <c r="D67" s="102"/>
      <c r="E67" s="103">
        <v>44991</v>
      </c>
      <c r="F67" s="103">
        <v>44991</v>
      </c>
      <c r="G67" s="104">
        <f t="shared" si="23"/>
        <v>1</v>
      </c>
      <c r="H67" s="16"/>
      <c r="I67" s="16">
        <f t="shared" ca="1" si="6"/>
        <v>1</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row>
    <row r="68" spans="1:65" s="3" customFormat="1" ht="30" customHeight="1" thickBot="1">
      <c r="A68" s="27" t="s">
        <v>55</v>
      </c>
      <c r="B68" s="105" t="s">
        <v>40</v>
      </c>
      <c r="C68" s="106" t="s">
        <v>23</v>
      </c>
      <c r="D68" s="107"/>
      <c r="E68" s="108">
        <v>44991</v>
      </c>
      <c r="F68" s="108">
        <v>44993</v>
      </c>
      <c r="G68" s="104"/>
      <c r="H68" s="16"/>
      <c r="I68" s="16"/>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row>
    <row r="69" spans="1:65" ht="30" customHeight="1" thickBot="1">
      <c r="B69" s="33"/>
      <c r="C69" s="32"/>
      <c r="D69" s="15"/>
      <c r="E69" s="31"/>
      <c r="F69" s="31"/>
      <c r="G69" s="40"/>
      <c r="H69" s="16"/>
      <c r="I69" s="16"/>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row>
    <row r="70" spans="1:65" ht="30" customHeight="1" thickBot="1">
      <c r="B70" s="17" t="s">
        <v>61</v>
      </c>
      <c r="C70" s="18"/>
      <c r="D70" s="19"/>
      <c r="E70" s="20"/>
      <c r="F70" s="21"/>
      <c r="G70" s="41"/>
      <c r="H70" s="22"/>
      <c r="I70" s="22" t="str">
        <f t="shared" ca="1" si="6"/>
        <v/>
      </c>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row>
    <row r="71" spans="1:65" ht="30" customHeight="1">
      <c r="H71" s="6"/>
    </row>
    <row r="72" spans="1:65" ht="30" customHeight="1">
      <c r="C72" s="13"/>
      <c r="F72" s="28"/>
      <c r="G72" s="43"/>
    </row>
    <row r="73" spans="1:65" ht="30" customHeight="1">
      <c r="C73" s="14"/>
    </row>
  </sheetData>
  <mergeCells count="26">
    <mergeCell ref="B36:G36"/>
    <mergeCell ref="B48:G48"/>
    <mergeCell ref="B50:G50"/>
    <mergeCell ref="B45:G45"/>
    <mergeCell ref="C3:D3"/>
    <mergeCell ref="C4:D4"/>
    <mergeCell ref="B21:G21"/>
    <mergeCell ref="B16:G16"/>
    <mergeCell ref="B34:G34"/>
    <mergeCell ref="B18:G18"/>
    <mergeCell ref="B31:G31"/>
    <mergeCell ref="AL4:AR4"/>
    <mergeCell ref="AS4:AY4"/>
    <mergeCell ref="AZ4:BF4"/>
    <mergeCell ref="BG4:BM4"/>
    <mergeCell ref="E3:F3"/>
    <mergeCell ref="J4:P4"/>
    <mergeCell ref="Q4:W4"/>
    <mergeCell ref="X4:AD4"/>
    <mergeCell ref="AE4:AK4"/>
    <mergeCell ref="B60:G60"/>
    <mergeCell ref="B63:G63"/>
    <mergeCell ref="B65:G65"/>
    <mergeCell ref="B55:G55"/>
    <mergeCell ref="B46:C46"/>
    <mergeCell ref="B61:C61"/>
  </mergeCells>
  <conditionalFormatting sqref="D35 D49 D7:D17 D19:D20 D32:D33 D23:D30 D37:D44 D46:D47 D64 D51:D54 D66:D70 D56:D59 D61:D6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5:BM70">
    <cfRule type="expression" dxfId="2" priority="33">
      <formula>AND(TODAY()&gt;=J$5,TODAY()&lt;K$5)</formula>
    </cfRule>
  </conditionalFormatting>
  <conditionalFormatting sqref="J7:BM70">
    <cfRule type="expression" dxfId="1" priority="27">
      <formula>AND(task_start&lt;=J$5,ROUNDDOWN((task_end-task_start+1)*task_progress,0)+task_start-1&gt;=J$5)</formula>
    </cfRule>
    <cfRule type="expression" dxfId="0" priority="28" stopIfTrue="1">
      <formula>AND(task_end&gt;=J$5,task_start&lt;K$5)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D35 D49 D7:D17 D19:D20 D32:D33 D23:D30 D37:D44 D46:D47 D64 D51:D54 D66:D70 D56:D59 D61:D62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5F8D-ED98-6746-B0CE-50351668141A}">
  <dimension ref="A1"/>
  <sheetViews>
    <sheetView workbookViewId="0"/>
  </sheetViews>
  <sheetFormatPr defaultColWidth="11.425781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5F6638245D5F489C492A8A4CAD5181" ma:contentTypeVersion="25" ma:contentTypeDescription="Create a new document." ma:contentTypeScope="" ma:versionID="736407436f70d0447fb7b71a4f7f3bde">
  <xsd:schema xmlns:xsd="http://www.w3.org/2001/XMLSchema" xmlns:xs="http://www.w3.org/2001/XMLSchema" xmlns:p="http://schemas.microsoft.com/office/2006/metadata/properties" xmlns:ns2="7963abd7-b1fd-4e31-9721-c6fee94b0cb0" xmlns:ns3="8a398bdf-8e41-4a71-9177-f5160f512c04" targetNamespace="http://schemas.microsoft.com/office/2006/metadata/properties" ma:root="true" ma:fieldsID="5761057f95071114197a3ca175f84f21" ns2:_="" ns3:_="">
    <xsd:import namespace="7963abd7-b1fd-4e31-9721-c6fee94b0cb0"/>
    <xsd:import namespace="8a398bdf-8e41-4a71-9177-f5160f512c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3abd7-b1fd-4e31-9721-c6fee94b0c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Location" ma:index="10" nillable="true" ma:displayName="Location" ma:description="" ma:internalName="MediaServiceLocatio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LengthInSeconds" ma:index="12" nillable="true" ma:displayName="MediaLengthInSeconds" ma:description=""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ad9ae7-51a7-4a42-a9b2-43e76f4f824d"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398bdf-8e41-4a71-9177-f5160f512c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ac6e8c-499b-4941-8a05-e4a91feeb03d}" ma:internalName="TaxCatchAll" ma:showField="CatchAllData" ma:web="8a398bdf-8e41-4a71-9177-f5160f512c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a398bdf-8e41-4a71-9177-f5160f512c04" xsi:nil="true"/>
    <lcf76f155ced4ddcb4097134ff3c332f xmlns="7963abd7-b1fd-4e31-9721-c6fee94b0c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EE0F6D-4D13-402D-B8A0-6510BA33827A}"/>
</file>

<file path=customXml/itemProps2.xml><?xml version="1.0" encoding="utf-8"?>
<ds:datastoreItem xmlns:ds="http://schemas.openxmlformats.org/officeDocument/2006/customXml" ds:itemID="{91C8627D-42C6-498C-A9A4-9D14A44E3584}"/>
</file>

<file path=customXml/itemProps3.xml><?xml version="1.0" encoding="utf-8"?>
<ds:datastoreItem xmlns:ds="http://schemas.openxmlformats.org/officeDocument/2006/customXml" ds:itemID="{6710F012-5194-4FA5-B25C-7AB27DDD931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Rowan, Amy (NBCUniversal)</cp:lastModifiedBy>
  <cp:revision/>
  <dcterms:created xsi:type="dcterms:W3CDTF">2022-03-11T22:40:12Z</dcterms:created>
  <dcterms:modified xsi:type="dcterms:W3CDTF">2024-05-24T09:51:07Z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0x0101009F5F6638245D5F489C492A8A4CAD5181</vt:lpwstr>
  </property>
  <property fmtid="{D5CDD505-2E9C-101B-9397-08002B2CF9AE}" pid="3" name="MediaServiceImageTags">
    <vt:lpwstr/>
  </property>
  <property fmtid="{D5CDD505-2E9C-101B-9397-08002B2CF9AE}" pid="4" name="Order">
    <vt:r8>225300</vt:r8>
  </property>
  <property fmtid="{D5CDD505-2E9C-101B-9397-08002B2CF9AE}" pid="5" name="_ExtendedDescription">
    <vt:lpwstr/>
  </property>
</Properties>
</file>