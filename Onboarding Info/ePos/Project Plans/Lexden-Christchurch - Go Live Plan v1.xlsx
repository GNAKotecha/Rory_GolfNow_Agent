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filterPrivacy="1" codeName="ThisWorkbook"/>
  <xr:revisionPtr revIDLastSave="224" documentId="8_{A90FEFF4-6F47-1541-BB04-46FA06103F6B}" xr6:coauthVersionLast="47" xr6:coauthVersionMax="47" xr10:uidLastSave="{7457B325-D3F2-9145-8A42-FBB8C149B240}"/>
  <bookViews>
    <workbookView xWindow="-38400" yWindow="500" windowWidth="38400" windowHeight="19400" xr2:uid="{00000000-000D-0000-FFFF-FFFF00000000}"/>
  </bookViews>
  <sheets>
    <sheet name="ProjectSchedule" sheetId="11" r:id="rId1"/>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1" l="1"/>
  <c r="G13" i="11"/>
  <c r="G32" i="11"/>
  <c r="G19" i="11"/>
  <c r="G94" i="11"/>
  <c r="G92" i="11"/>
  <c r="I90" i="11"/>
  <c r="G90" i="11"/>
  <c r="G80" i="11"/>
  <c r="G79" i="11"/>
  <c r="G78" i="11"/>
  <c r="I77" i="11"/>
  <c r="G77" i="11"/>
  <c r="I76" i="11"/>
  <c r="G76" i="11"/>
  <c r="I75" i="11"/>
  <c r="G75" i="11"/>
  <c r="G74" i="11"/>
  <c r="G73" i="11"/>
  <c r="G72" i="11"/>
  <c r="G71" i="11"/>
  <c r="G70" i="11"/>
  <c r="G69" i="11"/>
  <c r="G53" i="11"/>
  <c r="I38" i="11"/>
  <c r="G38" i="11"/>
  <c r="G48" i="11"/>
  <c r="G43" i="11"/>
  <c r="G47" i="11"/>
  <c r="G46" i="11"/>
  <c r="G31" i="11"/>
  <c r="G30" i="11"/>
  <c r="G18" i="11"/>
  <c r="G17" i="11"/>
  <c r="G33" i="11"/>
  <c r="G28" i="11"/>
  <c r="G27" i="11"/>
  <c r="G25" i="11"/>
  <c r="G23" i="11"/>
  <c r="G52" i="11"/>
  <c r="G51" i="11"/>
  <c r="G20" i="11"/>
  <c r="G15" i="11"/>
  <c r="G67" i="11"/>
  <c r="G42" i="11"/>
  <c r="G41" i="11"/>
  <c r="G87" i="11"/>
  <c r="G85" i="11"/>
  <c r="G83" i="11"/>
  <c r="G56" i="11"/>
  <c r="G57" i="11"/>
  <c r="G58" i="11"/>
  <c r="G59" i="11"/>
  <c r="G60" i="11"/>
  <c r="G61" i="11"/>
  <c r="G62" i="11"/>
  <c r="G63" i="11"/>
  <c r="G64" i="11"/>
  <c r="G65" i="11"/>
  <c r="G66" i="11"/>
  <c r="I64" i="11"/>
  <c r="G37" i="11"/>
  <c r="G36" i="11"/>
  <c r="G12" i="11"/>
  <c r="G14" i="11"/>
  <c r="G10" i="11"/>
  <c r="I63" i="11"/>
  <c r="I62" i="11"/>
  <c r="I96" i="11"/>
  <c r="I97" i="11"/>
  <c r="I7" i="11"/>
  <c r="J5" i="11" l="1"/>
  <c r="I81" i="11"/>
  <c r="I54" i="11"/>
  <c r="I35" i="11"/>
  <c r="J6" i="11" l="1"/>
  <c r="I83" i="11" l="1"/>
  <c r="I36" i="11"/>
  <c r="K5" i="11"/>
  <c r="L5" i="11" s="1"/>
  <c r="M5" i="11" s="1"/>
  <c r="N5" i="11" s="1"/>
  <c r="O5" i="11" s="1"/>
  <c r="P5" i="11" s="1"/>
  <c r="Q5" i="11" s="1"/>
  <c r="J4" i="11"/>
  <c r="I37" i="11" l="1"/>
  <c r="Q4" i="1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sharedStrings.xml><?xml version="1.0" encoding="utf-8"?>
<sst xmlns="http://schemas.openxmlformats.org/spreadsheetml/2006/main" count="169" uniqueCount="76">
  <si>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</si>
  <si>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Lexden/Christchurch - DRAFT Go Live Plan</t>
  </si>
  <si>
    <t>Enter Company Name in cell B2.</t>
  </si>
  <si>
    <t>Enter the name of the Project Lead in cell B3. Enter the Project Start date in cell E3. Project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</si>
  <si>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</si>
  <si>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</si>
  <si>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</si>
  <si>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</si>
  <si>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</si>
  <si>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</si>
  <si>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</si>
  <si>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</si>
  <si>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</si>
  <si>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</si>
  <si>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WORK DAYS</t>
  </si>
  <si>
    <t>DAYS</t>
  </si>
  <si>
    <t xml:space="preserve">Do not delete this row. This row is hidden to preserve a formula that is used to highlight the current day within the project schedule. </t>
  </si>
  <si>
    <t>Tee Sheet</t>
  </si>
  <si>
    <t>Christchurch</t>
  </si>
  <si>
    <t>Create a new tee sheet system</t>
  </si>
  <si>
    <t>Lesley Williams</t>
  </si>
  <si>
    <t>- Members booking module/app
- Visitor Booking module</t>
  </si>
  <si>
    <t>Transfer Member Data - Club to provide CSV file</t>
  </si>
  <si>
    <t>Jamie Kinvig</t>
  </si>
  <si>
    <t>List of who needs a login</t>
  </si>
  <si>
    <t>Tee Sheet training - member registration email</t>
  </si>
  <si>
    <t>Lesley &amp; Jamie</t>
  </si>
  <si>
    <t>Manually Transfer tee sheet bookings</t>
  </si>
  <si>
    <t>- Park Room
- Back 9 Weekend 9 Holes
- Short course par 3</t>
  </si>
  <si>
    <t>Send Members Registration email</t>
  </si>
  <si>
    <t>Members booking online by this date</t>
  </si>
  <si>
    <t>Teesheet training for golf reception staff</t>
  </si>
  <si>
    <t>Agree cutover to new tee sheet</t>
  </si>
  <si>
    <t>Existing tee sheet will run side by side until go live on the 31st January</t>
  </si>
  <si>
    <t>Lexden</t>
  </si>
  <si>
    <t>- Main Course
- Mighty Advent
- Foot Golf</t>
  </si>
  <si>
    <t>Existing tee sheet will run side by side until go live on the 7th February</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</si>
  <si>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</si>
  <si>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BRS Payments</t>
  </si>
  <si>
    <t>Provide director details and relevant documentation</t>
  </si>
  <si>
    <t>Create BRS Payments system for Christchurch</t>
  </si>
  <si>
    <t>Create BRS Payments system for Lexden</t>
  </si>
  <si>
    <t>BRS Memberships</t>
  </si>
  <si>
    <t>Create BRS Memberships system</t>
  </si>
  <si>
    <t>Syncing member data between teesheet &amp; memberships</t>
  </si>
  <si>
    <t>Memberships training</t>
  </si>
  <si>
    <r>
      <t xml:space="preserve">- </t>
    </r>
    <r>
      <rPr>
        <b/>
        <sz val="12"/>
        <color theme="1"/>
        <rFont val="Calibri"/>
        <family val="2"/>
        <scheme val="minor"/>
      </rPr>
      <t xml:space="preserve">Training includes : </t>
    </r>
    <r>
      <rPr>
        <sz val="12"/>
        <color theme="1"/>
        <rFont val="Calibri"/>
        <family val="2"/>
        <scheme val="minor"/>
      </rPr>
      <t>Settings, Members, Membership Types, Subscription items, Apply/Remove subscription items, Drafting Bills, Publishing Bills, Payments</t>
    </r>
  </si>
  <si>
    <t>Distribution</t>
  </si>
  <si>
    <t>Setup Facilities</t>
  </si>
  <si>
    <t>TBD</t>
  </si>
  <si>
    <t>Agree cutover for Christchurch</t>
  </si>
  <si>
    <t>Agree cutover for Lexden</t>
  </si>
  <si>
    <t>Sample phase title block</t>
  </si>
  <si>
    <t>ePOS System</t>
  </si>
  <si>
    <t>Purchase and install hardware</t>
  </si>
  <si>
    <t>Provide product data from existing epos system</t>
  </si>
  <si>
    <t>Create ePos system</t>
  </si>
  <si>
    <t>Upload product data</t>
  </si>
  <si>
    <t>Provide member wallet balances</t>
  </si>
  <si>
    <t>Upload member wallet balances</t>
  </si>
  <si>
    <t>ePos Introduction for Golf Reception staff</t>
  </si>
  <si>
    <t>ePos Introduction for Bar/Restaurant staff</t>
  </si>
  <si>
    <t>ePos Introduction for Back office staff</t>
  </si>
  <si>
    <t>iPad Setup</t>
  </si>
  <si>
    <t>Go Live Checkpoint</t>
  </si>
  <si>
    <t>Convert tee sheet to ePos tee sheet</t>
  </si>
  <si>
    <t>Remote ePos Training &amp; Go Live</t>
  </si>
  <si>
    <t>ePos Training for Golf Reception Staff</t>
  </si>
  <si>
    <r>
      <t xml:space="preserve">- </t>
    </r>
    <r>
      <rPr>
        <b/>
        <sz val="12"/>
        <color theme="1"/>
        <rFont val="Calibri"/>
        <family val="2"/>
        <scheme val="minor"/>
      </rPr>
      <t xml:space="preserve">Training includes : </t>
    </r>
    <r>
      <rPr>
        <sz val="12"/>
        <color theme="1"/>
        <rFont val="Calibri"/>
        <family val="2"/>
        <scheme val="minor"/>
      </rPr>
      <t>Tee sheet differences, Paying for a tee time, Adding items to the order, Adding a customer to the order, Taking payment, Saving an order for later, Applying discounts, Member wallet top up, Refund order, End of Day Cash Close</t>
    </r>
  </si>
  <si>
    <t>ePos Training for Bar/Restaurant Staff</t>
  </si>
  <si>
    <r>
      <t xml:space="preserve">- </t>
    </r>
    <r>
      <rPr>
        <b/>
        <sz val="12"/>
        <color theme="1"/>
        <rFont val="Calibri"/>
        <family val="2"/>
        <scheme val="minor"/>
      </rPr>
      <t xml:space="preserve">Training includes : </t>
    </r>
    <r>
      <rPr>
        <sz val="12"/>
        <color theme="1"/>
        <rFont val="Calibri"/>
        <family val="2"/>
        <scheme val="minor"/>
      </rPr>
      <t>Paying for a tee time, Creating an Order, Adding a customer to the order, Taking payment, Food Modifiers/Notes, Hold an order, Send to Kitchen, Applying discounts, Split/Combine orders, Assign to table, Member wallet top up, Refund order, End of Day Cash Close</t>
    </r>
  </si>
  <si>
    <t>ePos Training for Back Office Staff</t>
  </si>
  <si>
    <r>
      <t xml:space="preserve">- </t>
    </r>
    <r>
      <rPr>
        <b/>
        <sz val="12"/>
        <color theme="1"/>
        <rFont val="Calibri"/>
        <family val="2"/>
        <scheme val="minor"/>
      </rPr>
      <t xml:space="preserve">Training includes : </t>
    </r>
    <r>
      <rPr>
        <sz val="12"/>
        <color theme="1"/>
        <rFont val="Calibri"/>
        <family val="2"/>
        <scheme val="minor"/>
      </rPr>
      <t>Managing Products, Discounts/Specials, Reports, Creating new users, iPad app setup</t>
    </r>
  </si>
  <si>
    <t>This is an empty row</t>
  </si>
  <si>
    <t>This row marks the end of the Project Schedule. DO NOT enter anything in this row. 
Insert new rows ABOVE this one to continue building out your Project Schedule.</t>
  </si>
  <si>
    <t>Insert new rows ABOVE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</si>
</sst>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_(* \(#,##0.00\);_(* &quot;-&quot;??_);_(@_)"/>
    <numFmt numFmtId="165" formatCode="m/d/yy;@"/>
    <numFmt numFmtId="166" formatCode="ddd\,\ m/d/yyyy"/>
    <numFmt numFmtId="167" formatCode="mmm\ d\,\ yyyy"/>
    <numFmt numFmtId="168" formatCode="d"/>
    <numFmt numFmtId="169" formatCode="ddd\,\ d/m/yyyy"/>
    <numFmt numFmtId="170" formatCode="d/m/yy;@"/>
    <numFmt numFmtId="171" formatCode="dd/mm/yy;@"/>
    <numFmt numFmtId="172" formatCode="dd/mm/yy"/>
  </numFmts>
  <fonts count="26">
    <font>
      <sz val="11"/>
      <color theme="1"/>
      <name val="Calibri"/>
      <family val="2"/>
      <scheme val="minor"/>
    </font>
    <font>
      <sz val="12"/>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b/>
      <sz val="12"/>
      <color theme="0"/>
      <name val="Calibri"/>
      <family val="2"/>
      <scheme val="minor"/>
    </font>
    <font>
      <b/>
      <sz val="12"/>
      <color theme="1"/>
      <name val="Calibri"/>
      <family val="2"/>
      <scheme val="minor"/>
    </font>
    <font>
      <sz val="12"/>
      <name val="Calibri"/>
      <family val="2"/>
      <scheme val="minor"/>
    </font>
    <font>
      <i/>
      <sz val="12"/>
      <color theme="1"/>
      <name val="Calibri"/>
      <family val="2"/>
      <scheme val="minor"/>
    </font>
    <font>
      <i/>
      <sz val="14"/>
      <color theme="1"/>
      <name val="Calibri"/>
      <family val="2"/>
      <scheme val="minor"/>
    </font>
    <font>
      <b/>
      <sz val="12"/>
      <name val="Calibri"/>
      <family val="2"/>
      <scheme val="minor"/>
    </font>
    <font>
      <i/>
      <sz val="11"/>
      <color theme="1"/>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F2CC"/>
        <bgColor indexed="64"/>
      </patternFill>
    </fill>
    <fill>
      <patternFill patternType="solid">
        <fgColor rgb="FFFFE699"/>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4"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29">
    <xf numFmtId="0" fontId="0" fillId="0" borderId="0" xfId="0"/>
    <xf numFmtId="0" fontId="2" fillId="0" borderId="0" xfId="0" applyFont="1" applyAlignment="1">
      <alignment horizontal="left"/>
    </xf>
    <xf numFmtId="0" fontId="3" fillId="0" borderId="0" xfId="0" applyFont="1"/>
    <xf numFmtId="0" fontId="0" fillId="0" borderId="0" xfId="0" applyAlignment="1">
      <alignment vertical="center"/>
    </xf>
    <xf numFmtId="0" fontId="3"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center" vertical="center" wrapText="1"/>
    </xf>
    <xf numFmtId="168" fontId="11" fillId="6" borderId="0" xfId="0" applyNumberFormat="1" applyFont="1" applyFill="1" applyAlignment="1">
      <alignment horizontal="center" vertical="center"/>
    </xf>
    <xf numFmtId="168" fontId="11" fillId="6" borderId="6" xfId="0" applyNumberFormat="1" applyFont="1" applyFill="1" applyBorder="1" applyAlignment="1">
      <alignment horizontal="center" vertical="center"/>
    </xf>
    <xf numFmtId="168" fontId="11" fillId="6" borderId="7" xfId="0" applyNumberFormat="1" applyFont="1" applyFill="1" applyBorder="1" applyAlignment="1">
      <alignment horizontal="center" vertical="center"/>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6" fillId="0" borderId="2" xfId="2" applyFont="1" applyBorder="1" applyAlignment="1">
      <alignment horizontal="center" vertical="center"/>
    </xf>
    <xf numFmtId="0" fontId="6"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6" fillId="2" borderId="2" xfId="2" applyFont="1" applyFill="1" applyBorder="1" applyAlignment="1">
      <alignment horizontal="center" vertical="center"/>
    </xf>
    <xf numFmtId="165" fontId="5" fillId="2" borderId="2" xfId="0" applyNumberFormat="1" applyFont="1" applyFill="1" applyBorder="1" applyAlignment="1">
      <alignment horizontal="left" vertical="center"/>
    </xf>
    <xf numFmtId="165"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3"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13" fillId="0" borderId="0" xfId="5" applyAlignment="1">
      <alignment horizontal="left"/>
    </xf>
    <xf numFmtId="0" fontId="10" fillId="0" borderId="0" xfId="6"/>
    <xf numFmtId="165" fontId="9" fillId="0" borderId="2" xfId="10">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9" fontId="9" fillId="0" borderId="3" xfId="9" applyNumberFormat="1">
      <alignment horizontal="center" vertical="center"/>
    </xf>
    <xf numFmtId="0" fontId="19" fillId="11" borderId="1" xfId="0" applyFont="1" applyFill="1" applyBorder="1" applyAlignment="1">
      <alignment horizontal="left" vertical="center" indent="1"/>
    </xf>
    <xf numFmtId="0" fontId="19" fillId="11" borderId="1" xfId="0" applyFont="1" applyFill="1" applyBorder="1" applyAlignment="1">
      <alignment horizontal="center" vertical="center" wrapText="1"/>
    </xf>
    <xf numFmtId="0" fontId="20" fillId="7" borderId="2" xfId="0" applyFont="1" applyFill="1" applyBorder="1" applyAlignment="1">
      <alignment horizontal="left" vertical="center" wrapText="1" indent="1"/>
    </xf>
    <xf numFmtId="9" fontId="21" fillId="7" borderId="2" xfId="2" applyFont="1" applyFill="1" applyBorder="1" applyAlignment="1">
      <alignment horizontal="center" vertical="center"/>
    </xf>
    <xf numFmtId="170" fontId="21" fillId="7" borderId="2" xfId="0" applyNumberFormat="1" applyFont="1" applyFill="1" applyBorder="1" applyAlignment="1">
      <alignment horizontal="center" vertical="center"/>
    </xf>
    <xf numFmtId="9" fontId="21" fillId="3" borderId="2" xfId="2" applyFont="1" applyFill="1" applyBorder="1" applyAlignment="1">
      <alignment horizontal="center" vertical="center"/>
    </xf>
    <xf numFmtId="0" fontId="20" fillId="5" borderId="2" xfId="0" applyFont="1" applyFill="1" applyBorder="1" applyAlignment="1">
      <alignment horizontal="left" vertical="center" wrapText="1" indent="1"/>
    </xf>
    <xf numFmtId="9" fontId="21" fillId="5" borderId="2" xfId="2" applyFont="1" applyFill="1" applyBorder="1" applyAlignment="1">
      <alignment horizontal="center" vertical="center"/>
    </xf>
    <xf numFmtId="170" fontId="21" fillId="5" borderId="2" xfId="0" applyNumberFormat="1" applyFont="1" applyFill="1" applyBorder="1" applyAlignment="1">
      <alignment horizontal="center" vertical="center"/>
    </xf>
    <xf numFmtId="9" fontId="21" fillId="9" borderId="2" xfId="2" applyFont="1" applyFill="1" applyBorder="1" applyAlignment="1">
      <alignment horizontal="center" vertical="center"/>
    </xf>
    <xf numFmtId="9" fontId="21" fillId="4" borderId="2" xfId="2" applyFont="1" applyFill="1" applyBorder="1" applyAlignment="1">
      <alignment horizontal="center" vertical="center"/>
    </xf>
    <xf numFmtId="9" fontId="21" fillId="8" borderId="2" xfId="2" applyFont="1" applyFill="1" applyBorder="1" applyAlignment="1">
      <alignment horizontal="center" vertical="center"/>
    </xf>
    <xf numFmtId="0" fontId="20" fillId="13" borderId="2" xfId="0" applyFont="1" applyFill="1" applyBorder="1" applyAlignment="1">
      <alignment horizontal="left" vertical="center" wrapText="1" indent="1"/>
    </xf>
    <xf numFmtId="9" fontId="21" fillId="13" borderId="2" xfId="2" applyFont="1" applyFill="1" applyBorder="1" applyAlignment="1">
      <alignment horizontal="center" vertical="center"/>
    </xf>
    <xf numFmtId="170" fontId="21" fillId="13" borderId="2" xfId="0" applyNumberFormat="1" applyFont="1" applyFill="1" applyBorder="1" applyAlignment="1">
      <alignment horizontal="center" vertical="center"/>
    </xf>
    <xf numFmtId="9" fontId="21" fillId="12" borderId="2" xfId="2" applyFont="1" applyFill="1" applyBorder="1" applyAlignment="1">
      <alignment horizontal="center" vertical="center"/>
    </xf>
    <xf numFmtId="0" fontId="22" fillId="7" borderId="2" xfId="11" applyFont="1" applyFill="1">
      <alignment horizontal="center" vertical="center"/>
    </xf>
    <xf numFmtId="0" fontId="22" fillId="5" borderId="2" xfId="11" applyFont="1" applyFill="1">
      <alignment horizontal="center" vertical="center"/>
    </xf>
    <xf numFmtId="0" fontId="22" fillId="13" borderId="2" xfId="11" applyFont="1" applyFill="1">
      <alignment horizontal="center" vertical="center"/>
    </xf>
    <xf numFmtId="0" fontId="20" fillId="4" borderId="2" xfId="0" applyFont="1" applyFill="1" applyBorder="1" applyAlignment="1">
      <alignment horizontal="left" vertical="center" indent="1"/>
    </xf>
    <xf numFmtId="165" fontId="21" fillId="4" borderId="2" xfId="0" applyNumberFormat="1" applyFont="1" applyFill="1" applyBorder="1" applyAlignment="1">
      <alignment horizontal="center" vertical="center"/>
    </xf>
    <xf numFmtId="0" fontId="20" fillId="9" borderId="2" xfId="12" applyFont="1" applyFill="1" applyAlignment="1">
      <alignment horizontal="left" vertical="center" wrapText="1" indent="2"/>
    </xf>
    <xf numFmtId="0" fontId="20" fillId="9" borderId="2" xfId="11" applyFont="1" applyFill="1">
      <alignment horizontal="center" vertical="center"/>
    </xf>
    <xf numFmtId="9" fontId="24" fillId="9" borderId="2" xfId="2" applyFont="1" applyFill="1" applyBorder="1" applyAlignment="1">
      <alignment horizontal="center" vertical="center"/>
    </xf>
    <xf numFmtId="165" fontId="21" fillId="4" borderId="0" xfId="0" applyNumberFormat="1" applyFont="1" applyFill="1" applyAlignment="1">
      <alignment horizontal="center" vertical="center"/>
    </xf>
    <xf numFmtId="1" fontId="21" fillId="7" borderId="2" xfId="0" applyNumberFormat="1" applyFont="1" applyFill="1" applyBorder="1" applyAlignment="1">
      <alignment horizontal="center" vertical="center"/>
    </xf>
    <xf numFmtId="1" fontId="21" fillId="5" borderId="2" xfId="0" applyNumberFormat="1" applyFont="1" applyFill="1" applyBorder="1" applyAlignment="1">
      <alignment horizontal="center" vertical="center"/>
    </xf>
    <xf numFmtId="1" fontId="21" fillId="13" borderId="2" xfId="0" applyNumberFormat="1" applyFont="1" applyFill="1" applyBorder="1" applyAlignment="1">
      <alignment horizontal="center" vertical="center"/>
    </xf>
    <xf numFmtId="1" fontId="9" fillId="0" borderId="2" xfId="10" applyNumberFormat="1">
      <alignment horizontal="center" vertical="center"/>
    </xf>
    <xf numFmtId="1" fontId="6" fillId="2" borderId="2" xfId="0" applyNumberFormat="1" applyFont="1" applyFill="1" applyBorder="1" applyAlignment="1">
      <alignment horizontal="center" vertical="center"/>
    </xf>
    <xf numFmtId="1" fontId="0" fillId="0" borderId="0" xfId="0" applyNumberFormat="1"/>
    <xf numFmtId="1" fontId="16" fillId="0" borderId="0" xfId="0" applyNumberFormat="1" applyFont="1" applyAlignment="1">
      <alignment horizontal="center"/>
    </xf>
    <xf numFmtId="0" fontId="23" fillId="0" borderId="0" xfId="7" applyFont="1" applyAlignment="1">
      <alignment vertical="top" wrapText="1"/>
    </xf>
    <xf numFmtId="9" fontId="21" fillId="14" borderId="2" xfId="2" applyFont="1" applyFill="1" applyBorder="1" applyAlignment="1">
      <alignment horizontal="center" vertical="center"/>
    </xf>
    <xf numFmtId="9" fontId="21" fillId="15" borderId="2" xfId="2" applyFont="1" applyFill="1" applyBorder="1" applyAlignment="1">
      <alignment horizontal="center" vertical="center"/>
    </xf>
    <xf numFmtId="1" fontId="20" fillId="9" borderId="2" xfId="10" applyNumberFormat="1" applyFont="1" applyFill="1">
      <alignment horizontal="center" vertical="center"/>
    </xf>
    <xf numFmtId="9" fontId="21" fillId="16" borderId="2" xfId="2" applyFont="1" applyFill="1" applyBorder="1" applyAlignment="1">
      <alignment horizontal="center" vertical="center"/>
    </xf>
    <xf numFmtId="9" fontId="21" fillId="17" borderId="2" xfId="2" applyFont="1" applyFill="1" applyBorder="1" applyAlignment="1">
      <alignment horizontal="center" vertical="center"/>
    </xf>
    <xf numFmtId="0" fontId="20" fillId="17" borderId="2" xfId="12" applyFont="1" applyFill="1" applyAlignment="1">
      <alignment horizontal="left" vertical="center" wrapText="1" indent="2"/>
    </xf>
    <xf numFmtId="0" fontId="1" fillId="8" borderId="2" xfId="11" applyFont="1" applyFill="1">
      <alignment horizontal="center" vertical="center"/>
    </xf>
    <xf numFmtId="0" fontId="1" fillId="8" borderId="2" xfId="12" quotePrefix="1" applyFont="1" applyFill="1" applyAlignment="1">
      <alignment horizontal="left" vertical="center" wrapText="1" indent="2"/>
    </xf>
    <xf numFmtId="0" fontId="1" fillId="3" borderId="2" xfId="11" applyFont="1" applyFill="1">
      <alignment horizontal="center" vertical="center"/>
    </xf>
    <xf numFmtId="0" fontId="20" fillId="14" borderId="2" xfId="12" applyFont="1" applyFill="1" applyAlignment="1">
      <alignment horizontal="left" vertical="center" wrapText="1" indent="2"/>
    </xf>
    <xf numFmtId="0" fontId="1" fillId="15" borderId="2" xfId="12" applyFont="1" applyFill="1" applyAlignment="1">
      <alignment horizontal="left" vertical="center" wrapText="1" indent="2"/>
    </xf>
    <xf numFmtId="0" fontId="1" fillId="15" borderId="2" xfId="11" applyFont="1" applyFill="1">
      <alignment horizontal="center" vertical="center"/>
    </xf>
    <xf numFmtId="170" fontId="1" fillId="15" borderId="2" xfId="10" applyNumberFormat="1" applyFont="1" applyFill="1">
      <alignment horizontal="center" vertical="center"/>
    </xf>
    <xf numFmtId="0" fontId="1" fillId="16" borderId="2" xfId="11" applyFont="1" applyFill="1">
      <alignment horizontal="center" vertical="center"/>
    </xf>
    <xf numFmtId="0" fontId="1" fillId="9" borderId="2" xfId="11" applyFont="1" applyFill="1">
      <alignment horizontal="center" vertical="center"/>
    </xf>
    <xf numFmtId="0" fontId="1" fillId="3" borderId="2" xfId="12" applyFont="1" applyFill="1" applyAlignment="1">
      <alignment horizontal="left" vertical="center" wrapText="1" indent="2"/>
    </xf>
    <xf numFmtId="0" fontId="1" fillId="16" borderId="2" xfId="12" applyFont="1" applyFill="1" applyAlignment="1">
      <alignment horizontal="left" vertical="center" wrapText="1" indent="2"/>
    </xf>
    <xf numFmtId="0" fontId="1" fillId="9" borderId="2" xfId="12" applyFont="1" applyFill="1" applyAlignment="1">
      <alignment horizontal="left" vertical="center" wrapText="1" indent="2"/>
    </xf>
    <xf numFmtId="0" fontId="1" fillId="12" borderId="2" xfId="12" applyFont="1" applyFill="1" applyAlignment="1">
      <alignment horizontal="left" vertical="center" wrapText="1" indent="2"/>
    </xf>
    <xf numFmtId="0" fontId="1" fillId="12" borderId="2" xfId="11" applyFont="1" applyFill="1">
      <alignment horizontal="center" vertical="center"/>
    </xf>
    <xf numFmtId="0" fontId="1" fillId="0" borderId="0" xfId="0" applyFont="1"/>
    <xf numFmtId="0" fontId="1" fillId="0" borderId="0" xfId="0" applyFont="1" applyAlignment="1">
      <alignment wrapText="1"/>
    </xf>
    <xf numFmtId="0" fontId="1" fillId="4" borderId="2" xfId="11" applyFont="1" applyFill="1">
      <alignment horizontal="center" vertical="center"/>
    </xf>
    <xf numFmtId="165" fontId="1" fillId="4" borderId="2" xfId="0" applyNumberFormat="1" applyFont="1" applyFill="1" applyBorder="1" applyAlignment="1">
      <alignment horizontal="center" vertical="center"/>
    </xf>
    <xf numFmtId="0" fontId="1" fillId="8" borderId="2" xfId="12" applyFont="1" applyFill="1" applyAlignment="1">
      <alignment horizontal="left" vertical="center" wrapText="1" indent="2"/>
    </xf>
    <xf numFmtId="170" fontId="1" fillId="8" borderId="2" xfId="10" applyNumberFormat="1" applyFont="1" applyFill="1">
      <alignment horizontal="center" vertical="center"/>
    </xf>
    <xf numFmtId="1" fontId="1" fillId="8" borderId="2" xfId="10" applyNumberFormat="1" applyFont="1" applyFill="1">
      <alignment horizontal="center" vertical="center"/>
    </xf>
    <xf numFmtId="170" fontId="1" fillId="7" borderId="2" xfId="0" applyNumberFormat="1" applyFont="1" applyFill="1" applyBorder="1" applyAlignment="1">
      <alignment horizontal="center" vertical="center"/>
    </xf>
    <xf numFmtId="170" fontId="1" fillId="3" borderId="2" xfId="10" applyNumberFormat="1" applyFont="1" applyFill="1">
      <alignment horizontal="center" vertical="center"/>
    </xf>
    <xf numFmtId="1" fontId="1" fillId="3" borderId="2" xfId="10" applyNumberFormat="1" applyFont="1" applyFill="1">
      <alignment horizontal="center" vertical="center"/>
    </xf>
    <xf numFmtId="0" fontId="1" fillId="14" borderId="2" xfId="11" applyFont="1" applyFill="1">
      <alignment horizontal="center" vertical="center"/>
    </xf>
    <xf numFmtId="170" fontId="1" fillId="14" borderId="2" xfId="10" applyNumberFormat="1" applyFont="1" applyFill="1">
      <alignment horizontal="center" vertical="center"/>
    </xf>
    <xf numFmtId="1" fontId="1" fillId="14" borderId="2" xfId="10" applyNumberFormat="1" applyFont="1" applyFill="1">
      <alignment horizontal="center" vertical="center"/>
    </xf>
    <xf numFmtId="1" fontId="1" fillId="15" borderId="2" xfId="10" applyNumberFormat="1" applyFont="1" applyFill="1">
      <alignment horizontal="center" vertical="center"/>
    </xf>
    <xf numFmtId="0" fontId="1" fillId="17" borderId="2" xfId="11" applyFont="1" applyFill="1">
      <alignment horizontal="center" vertical="center"/>
    </xf>
    <xf numFmtId="170" fontId="1" fillId="17" borderId="2" xfId="10" applyNumberFormat="1" applyFont="1" applyFill="1">
      <alignment horizontal="center" vertical="center"/>
    </xf>
    <xf numFmtId="1" fontId="1" fillId="17" borderId="2" xfId="10" applyNumberFormat="1" applyFont="1" applyFill="1">
      <alignment horizontal="center" vertical="center"/>
    </xf>
    <xf numFmtId="171" fontId="1" fillId="16" borderId="2" xfId="12" applyNumberFormat="1" applyFont="1" applyFill="1" applyAlignment="1">
      <alignment horizontal="left" vertical="center" wrapText="1" indent="2"/>
    </xf>
    <xf numFmtId="1" fontId="1" fillId="16" borderId="2" xfId="10" applyNumberFormat="1" applyFont="1" applyFill="1">
      <alignment horizontal="center" vertical="center"/>
    </xf>
    <xf numFmtId="170" fontId="1" fillId="5" borderId="2" xfId="0" applyNumberFormat="1" applyFont="1" applyFill="1" applyBorder="1" applyAlignment="1">
      <alignment horizontal="center" vertical="center"/>
    </xf>
    <xf numFmtId="172" fontId="1" fillId="9" borderId="2" xfId="12" applyNumberFormat="1" applyFont="1" applyFill="1" applyAlignment="1">
      <alignment horizontal="left" vertical="center" wrapText="1" indent="2"/>
    </xf>
    <xf numFmtId="1" fontId="1" fillId="9" borderId="2" xfId="10" applyNumberFormat="1" applyFont="1" applyFill="1">
      <alignment horizontal="center" vertical="center"/>
    </xf>
    <xf numFmtId="170" fontId="1" fillId="13" borderId="2" xfId="0" applyNumberFormat="1" applyFont="1" applyFill="1" applyBorder="1" applyAlignment="1">
      <alignment horizontal="center" vertical="center"/>
    </xf>
    <xf numFmtId="172" fontId="1" fillId="12" borderId="2" xfId="12" applyNumberFormat="1" applyFont="1" applyFill="1" applyAlignment="1">
      <alignment horizontal="left" vertical="center" wrapText="1" indent="2"/>
    </xf>
    <xf numFmtId="1" fontId="1" fillId="12" borderId="2" xfId="10" applyNumberFormat="1" applyFont="1" applyFill="1">
      <alignment horizontal="center" vertical="center"/>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0" fontId="1" fillId="15" borderId="2" xfId="12" quotePrefix="1" applyFont="1" applyFill="1" applyAlignment="1">
      <alignment horizontal="left" vertical="center" wrapText="1" indent="4"/>
    </xf>
    <xf numFmtId="0" fontId="0" fillId="15" borderId="2" xfId="0" applyFill="1" applyBorder="1" applyAlignment="1">
      <alignment horizontal="left" vertical="center" indent="4"/>
    </xf>
    <xf numFmtId="0" fontId="22" fillId="8" borderId="2" xfId="12" quotePrefix="1" applyFont="1" applyFill="1" applyAlignment="1">
      <alignment horizontal="left" vertical="center" wrapText="1" indent="4"/>
    </xf>
    <xf numFmtId="0" fontId="25" fillId="0" borderId="2" xfId="0" applyFont="1" applyBorder="1" applyAlignment="1">
      <alignment horizontal="left" vertical="center" indent="4"/>
    </xf>
    <xf numFmtId="0" fontId="1" fillId="12" borderId="2" xfId="12" quotePrefix="1" applyFont="1" applyFill="1" applyAlignment="1">
      <alignment horizontal="left" vertical="center" wrapText="1"/>
    </xf>
    <xf numFmtId="0" fontId="0" fillId="0" borderId="2" xfId="0" applyBorder="1" applyAlignment="1">
      <alignment vertical="center"/>
    </xf>
    <xf numFmtId="0" fontId="9" fillId="0" borderId="0" xfId="8" applyAlignment="1">
      <alignment horizontal="right" indent="1"/>
    </xf>
    <xf numFmtId="0" fontId="9" fillId="0" borderId="7" xfId="8" applyBorder="1" applyAlignment="1">
      <alignment horizontal="right" indent="1"/>
    </xf>
    <xf numFmtId="169" fontId="9" fillId="0" borderId="3" xfId="9" applyNumberFormat="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D78"/>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100"/>
  <sheetViews>
    <sheetView showGridLines="0" tabSelected="1" showRuler="0" topLeftCell="B1" zoomScaleNormal="100" zoomScalePageLayoutView="70" workbookViewId="0">
      <pane ySplit="6" topLeftCell="A84" activePane="bottomLeft" state="frozen"/>
      <selection pane="bottomLeft" activeCell="B88" sqref="B88:G88"/>
    </sheetView>
  </sheetViews>
  <sheetFormatPr defaultColWidth="8.85546875" defaultRowHeight="30" customHeight="1"/>
  <cols>
    <col min="1" max="1" width="2.7109375" style="27" customWidth="1"/>
    <col min="2" max="2" width="48.140625" customWidth="1"/>
    <col min="3" max="3" width="30.7109375" customWidth="1"/>
    <col min="4" max="4" width="10.7109375" customWidth="1"/>
    <col min="5" max="5" width="10.42578125" style="5" customWidth="1"/>
    <col min="6" max="6" width="10.42578125" customWidth="1"/>
    <col min="7" max="7" width="10.42578125" style="69" customWidth="1"/>
    <col min="8" max="8" width="2.7109375" customWidth="1"/>
    <col min="9" max="9" width="6.140625" hidden="1" customWidth="1"/>
    <col min="10" max="65" width="2.42578125" customWidth="1"/>
    <col min="70" max="71" width="10.28515625"/>
  </cols>
  <sheetData>
    <row r="1" spans="1:65" ht="30" customHeight="1">
      <c r="A1" s="28" t="s">
        <v>0</v>
      </c>
      <c r="B1" s="30" t="s">
        <v>1</v>
      </c>
      <c r="C1" s="1"/>
      <c r="D1" s="2"/>
      <c r="E1" s="4"/>
      <c r="F1" s="26"/>
      <c r="G1" s="26"/>
      <c r="I1" s="2"/>
      <c r="J1" s="36"/>
    </row>
    <row r="2" spans="1:65" ht="30" customHeight="1">
      <c r="A2" s="27" t="s">
        <v>2</v>
      </c>
      <c r="B2" s="31"/>
      <c r="G2"/>
      <c r="J2" s="37"/>
    </row>
    <row r="3" spans="1:65" ht="18.95">
      <c r="A3" s="27" t="s">
        <v>3</v>
      </c>
      <c r="B3" s="71"/>
      <c r="C3" s="126" t="s">
        <v>4</v>
      </c>
      <c r="D3" s="127"/>
      <c r="E3" s="128">
        <v>44935</v>
      </c>
      <c r="F3" s="128"/>
      <c r="G3" s="38"/>
    </row>
    <row r="4" spans="1:65" ht="30" customHeight="1">
      <c r="A4" s="28" t="s">
        <v>5</v>
      </c>
      <c r="C4" s="126" t="s">
        <v>6</v>
      </c>
      <c r="D4" s="127"/>
      <c r="E4" s="7">
        <v>1</v>
      </c>
      <c r="G4"/>
      <c r="J4" s="117">
        <f>J5</f>
        <v>44935</v>
      </c>
      <c r="K4" s="118"/>
      <c r="L4" s="118"/>
      <c r="M4" s="118"/>
      <c r="N4" s="118"/>
      <c r="O4" s="118"/>
      <c r="P4" s="119"/>
      <c r="Q4" s="117">
        <f>Q5</f>
        <v>44942</v>
      </c>
      <c r="R4" s="118"/>
      <c r="S4" s="118"/>
      <c r="T4" s="118"/>
      <c r="U4" s="118"/>
      <c r="V4" s="118"/>
      <c r="W4" s="119"/>
      <c r="X4" s="117">
        <f>X5</f>
        <v>44949</v>
      </c>
      <c r="Y4" s="118"/>
      <c r="Z4" s="118"/>
      <c r="AA4" s="118"/>
      <c r="AB4" s="118"/>
      <c r="AC4" s="118"/>
      <c r="AD4" s="119"/>
      <c r="AE4" s="117">
        <f>AE5</f>
        <v>44956</v>
      </c>
      <c r="AF4" s="118"/>
      <c r="AG4" s="118"/>
      <c r="AH4" s="118"/>
      <c r="AI4" s="118"/>
      <c r="AJ4" s="118"/>
      <c r="AK4" s="119"/>
      <c r="AL4" s="117">
        <f>AL5</f>
        <v>44963</v>
      </c>
      <c r="AM4" s="118"/>
      <c r="AN4" s="118"/>
      <c r="AO4" s="118"/>
      <c r="AP4" s="118"/>
      <c r="AQ4" s="118"/>
      <c r="AR4" s="119"/>
      <c r="AS4" s="117">
        <f>AS5</f>
        <v>44970</v>
      </c>
      <c r="AT4" s="118"/>
      <c r="AU4" s="118"/>
      <c r="AV4" s="118"/>
      <c r="AW4" s="118"/>
      <c r="AX4" s="118"/>
      <c r="AY4" s="119"/>
      <c r="AZ4" s="117">
        <f>AZ5</f>
        <v>44977</v>
      </c>
      <c r="BA4" s="118"/>
      <c r="BB4" s="118"/>
      <c r="BC4" s="118"/>
      <c r="BD4" s="118"/>
      <c r="BE4" s="118"/>
      <c r="BF4" s="119"/>
      <c r="BG4" s="117">
        <f>BG5</f>
        <v>44984</v>
      </c>
      <c r="BH4" s="118"/>
      <c r="BI4" s="118"/>
      <c r="BJ4" s="118"/>
      <c r="BK4" s="118"/>
      <c r="BL4" s="118"/>
      <c r="BM4" s="119"/>
    </row>
    <row r="5" spans="1:65" ht="15" customHeight="1">
      <c r="A5" s="28" t="s">
        <v>7</v>
      </c>
      <c r="B5" s="35"/>
      <c r="C5" s="35"/>
      <c r="D5" s="35"/>
      <c r="E5" s="35"/>
      <c r="F5" s="35"/>
      <c r="G5" s="35"/>
      <c r="H5" s="35"/>
      <c r="J5" s="10">
        <f>Project_Start-WEEKDAY(Project_Start,1)+2+7*(Display_Week-1)</f>
        <v>44935</v>
      </c>
      <c r="K5" s="9">
        <f>J5+1</f>
        <v>44936</v>
      </c>
      <c r="L5" s="9">
        <f t="shared" ref="L5:AY5" si="0">K5+1</f>
        <v>44937</v>
      </c>
      <c r="M5" s="9">
        <f t="shared" si="0"/>
        <v>44938</v>
      </c>
      <c r="N5" s="9">
        <f t="shared" si="0"/>
        <v>44939</v>
      </c>
      <c r="O5" s="9">
        <f t="shared" si="0"/>
        <v>44940</v>
      </c>
      <c r="P5" s="11">
        <f t="shared" si="0"/>
        <v>44941</v>
      </c>
      <c r="Q5" s="10">
        <f>P5+1</f>
        <v>44942</v>
      </c>
      <c r="R5" s="9">
        <f>Q5+1</f>
        <v>44943</v>
      </c>
      <c r="S5" s="9">
        <f t="shared" si="0"/>
        <v>44944</v>
      </c>
      <c r="T5" s="9">
        <f t="shared" si="0"/>
        <v>44945</v>
      </c>
      <c r="U5" s="9">
        <f t="shared" si="0"/>
        <v>44946</v>
      </c>
      <c r="V5" s="9">
        <f t="shared" si="0"/>
        <v>44947</v>
      </c>
      <c r="W5" s="11">
        <f t="shared" si="0"/>
        <v>44948</v>
      </c>
      <c r="X5" s="10">
        <f>W5+1</f>
        <v>44949</v>
      </c>
      <c r="Y5" s="9">
        <f>X5+1</f>
        <v>44950</v>
      </c>
      <c r="Z5" s="9">
        <f t="shared" si="0"/>
        <v>44951</v>
      </c>
      <c r="AA5" s="9">
        <f t="shared" si="0"/>
        <v>44952</v>
      </c>
      <c r="AB5" s="9">
        <f t="shared" si="0"/>
        <v>44953</v>
      </c>
      <c r="AC5" s="9">
        <f t="shared" si="0"/>
        <v>44954</v>
      </c>
      <c r="AD5" s="11">
        <f t="shared" si="0"/>
        <v>44955</v>
      </c>
      <c r="AE5" s="10">
        <f>AD5+1</f>
        <v>44956</v>
      </c>
      <c r="AF5" s="9">
        <f>AE5+1</f>
        <v>44957</v>
      </c>
      <c r="AG5" s="9">
        <f t="shared" si="0"/>
        <v>44958</v>
      </c>
      <c r="AH5" s="9">
        <f t="shared" si="0"/>
        <v>44959</v>
      </c>
      <c r="AI5" s="9">
        <f t="shared" si="0"/>
        <v>44960</v>
      </c>
      <c r="AJ5" s="9">
        <f t="shared" si="0"/>
        <v>44961</v>
      </c>
      <c r="AK5" s="11">
        <f t="shared" si="0"/>
        <v>44962</v>
      </c>
      <c r="AL5" s="10">
        <f>AK5+1</f>
        <v>44963</v>
      </c>
      <c r="AM5" s="9">
        <f>AL5+1</f>
        <v>44964</v>
      </c>
      <c r="AN5" s="9">
        <f t="shared" si="0"/>
        <v>44965</v>
      </c>
      <c r="AO5" s="9">
        <f t="shared" si="0"/>
        <v>44966</v>
      </c>
      <c r="AP5" s="9">
        <f t="shared" si="0"/>
        <v>44967</v>
      </c>
      <c r="AQ5" s="9">
        <f t="shared" si="0"/>
        <v>44968</v>
      </c>
      <c r="AR5" s="11">
        <f t="shared" si="0"/>
        <v>44969</v>
      </c>
      <c r="AS5" s="10">
        <f>AR5+1</f>
        <v>44970</v>
      </c>
      <c r="AT5" s="9">
        <f>AS5+1</f>
        <v>44971</v>
      </c>
      <c r="AU5" s="9">
        <f t="shared" si="0"/>
        <v>44972</v>
      </c>
      <c r="AV5" s="9">
        <f t="shared" si="0"/>
        <v>44973</v>
      </c>
      <c r="AW5" s="9">
        <f t="shared" si="0"/>
        <v>44974</v>
      </c>
      <c r="AX5" s="9">
        <f t="shared" si="0"/>
        <v>44975</v>
      </c>
      <c r="AY5" s="11">
        <f t="shared" si="0"/>
        <v>44976</v>
      </c>
      <c r="AZ5" s="10">
        <f>AY5+1</f>
        <v>44977</v>
      </c>
      <c r="BA5" s="9">
        <f>AZ5+1</f>
        <v>44978</v>
      </c>
      <c r="BB5" s="9">
        <f t="shared" ref="BB5:BF5" si="1">BA5+1</f>
        <v>44979</v>
      </c>
      <c r="BC5" s="9">
        <f t="shared" si="1"/>
        <v>44980</v>
      </c>
      <c r="BD5" s="9">
        <f t="shared" si="1"/>
        <v>44981</v>
      </c>
      <c r="BE5" s="9">
        <f t="shared" si="1"/>
        <v>44982</v>
      </c>
      <c r="BF5" s="11">
        <f t="shared" si="1"/>
        <v>44983</v>
      </c>
      <c r="BG5" s="10">
        <f>BF5+1</f>
        <v>44984</v>
      </c>
      <c r="BH5" s="9">
        <f>BG5+1</f>
        <v>44985</v>
      </c>
      <c r="BI5" s="9">
        <f t="shared" ref="BI5:BM5" si="2">BH5+1</f>
        <v>44986</v>
      </c>
      <c r="BJ5" s="9">
        <f t="shared" si="2"/>
        <v>44987</v>
      </c>
      <c r="BK5" s="9">
        <f t="shared" si="2"/>
        <v>44988</v>
      </c>
      <c r="BL5" s="9">
        <f t="shared" si="2"/>
        <v>44989</v>
      </c>
      <c r="BM5" s="11">
        <f t="shared" si="2"/>
        <v>44990</v>
      </c>
    </row>
    <row r="6" spans="1:65" ht="30" customHeight="1" thickBot="1">
      <c r="A6" s="28" t="s">
        <v>8</v>
      </c>
      <c r="B6" s="39" t="s">
        <v>9</v>
      </c>
      <c r="C6" s="40" t="s">
        <v>10</v>
      </c>
      <c r="D6" s="40" t="s">
        <v>11</v>
      </c>
      <c r="E6" s="40" t="s">
        <v>12</v>
      </c>
      <c r="F6" s="40" t="s">
        <v>13</v>
      </c>
      <c r="G6" s="40" t="s">
        <v>14</v>
      </c>
      <c r="H6" s="8"/>
      <c r="I6" s="8" t="s">
        <v>15</v>
      </c>
      <c r="J6" s="12" t="str">
        <f t="shared" ref="J6" si="3">LEFT(TEXT(J5,"ddd"),1)</f>
        <v>M</v>
      </c>
      <c r="K6" s="12" t="str">
        <f t="shared" ref="K6:AS6" si="4">LEFT(TEXT(K5,"ddd"),1)</f>
        <v>T</v>
      </c>
      <c r="L6" s="12" t="str">
        <f t="shared" si="4"/>
        <v>W</v>
      </c>
      <c r="M6" s="12" t="str">
        <f t="shared" si="4"/>
        <v>T</v>
      </c>
      <c r="N6" s="12" t="str">
        <f t="shared" si="4"/>
        <v>F</v>
      </c>
      <c r="O6" s="12" t="str">
        <f t="shared" si="4"/>
        <v>S</v>
      </c>
      <c r="P6" s="12" t="str">
        <f t="shared" si="4"/>
        <v>S</v>
      </c>
      <c r="Q6" s="12" t="str">
        <f t="shared" si="4"/>
        <v>M</v>
      </c>
      <c r="R6" s="12" t="str">
        <f t="shared" si="4"/>
        <v>T</v>
      </c>
      <c r="S6" s="12" t="str">
        <f t="shared" si="4"/>
        <v>W</v>
      </c>
      <c r="T6" s="12" t="str">
        <f t="shared" si="4"/>
        <v>T</v>
      </c>
      <c r="U6" s="12" t="str">
        <f t="shared" si="4"/>
        <v>F</v>
      </c>
      <c r="V6" s="12" t="str">
        <f t="shared" si="4"/>
        <v>S</v>
      </c>
      <c r="W6" s="12" t="str">
        <f t="shared" si="4"/>
        <v>S</v>
      </c>
      <c r="X6" s="12" t="str">
        <f t="shared" si="4"/>
        <v>M</v>
      </c>
      <c r="Y6" s="12" t="str">
        <f t="shared" si="4"/>
        <v>T</v>
      </c>
      <c r="Z6" s="12" t="str">
        <f t="shared" si="4"/>
        <v>W</v>
      </c>
      <c r="AA6" s="12" t="str">
        <f t="shared" si="4"/>
        <v>T</v>
      </c>
      <c r="AB6" s="12" t="str">
        <f t="shared" si="4"/>
        <v>F</v>
      </c>
      <c r="AC6" s="12" t="str">
        <f t="shared" si="4"/>
        <v>S</v>
      </c>
      <c r="AD6" s="12" t="str">
        <f t="shared" si="4"/>
        <v>S</v>
      </c>
      <c r="AE6" s="12" t="str">
        <f t="shared" si="4"/>
        <v>M</v>
      </c>
      <c r="AF6" s="12" t="str">
        <f t="shared" si="4"/>
        <v>T</v>
      </c>
      <c r="AG6" s="12" t="str">
        <f t="shared" si="4"/>
        <v>W</v>
      </c>
      <c r="AH6" s="12" t="str">
        <f t="shared" si="4"/>
        <v>T</v>
      </c>
      <c r="AI6" s="12" t="str">
        <f t="shared" si="4"/>
        <v>F</v>
      </c>
      <c r="AJ6" s="12" t="str">
        <f t="shared" si="4"/>
        <v>S</v>
      </c>
      <c r="AK6" s="12" t="str">
        <f t="shared" si="4"/>
        <v>S</v>
      </c>
      <c r="AL6" s="12" t="str">
        <f t="shared" si="4"/>
        <v>M</v>
      </c>
      <c r="AM6" s="12" t="str">
        <f t="shared" si="4"/>
        <v>T</v>
      </c>
      <c r="AN6" s="12" t="str">
        <f t="shared" si="4"/>
        <v>W</v>
      </c>
      <c r="AO6" s="12" t="str">
        <f t="shared" si="4"/>
        <v>T</v>
      </c>
      <c r="AP6" s="12" t="str">
        <f t="shared" si="4"/>
        <v>F</v>
      </c>
      <c r="AQ6" s="12" t="str">
        <f t="shared" si="4"/>
        <v>S</v>
      </c>
      <c r="AR6" s="12" t="str">
        <f t="shared" si="4"/>
        <v>S</v>
      </c>
      <c r="AS6" s="12" t="str">
        <f t="shared" si="4"/>
        <v>M</v>
      </c>
      <c r="AT6" s="12" t="str">
        <f t="shared" ref="AT6:BM6" si="5">LEFT(TEXT(AT5,"ddd"),1)</f>
        <v>T</v>
      </c>
      <c r="AU6" s="12" t="str">
        <f t="shared" si="5"/>
        <v>W</v>
      </c>
      <c r="AV6" s="12" t="str">
        <f t="shared" si="5"/>
        <v>T</v>
      </c>
      <c r="AW6" s="12" t="str">
        <f t="shared" si="5"/>
        <v>F</v>
      </c>
      <c r="AX6" s="12" t="str">
        <f t="shared" si="5"/>
        <v>S</v>
      </c>
      <c r="AY6" s="12" t="str">
        <f t="shared" si="5"/>
        <v>S</v>
      </c>
      <c r="AZ6" s="12" t="str">
        <f t="shared" si="5"/>
        <v>M</v>
      </c>
      <c r="BA6" s="12" t="str">
        <f t="shared" si="5"/>
        <v>T</v>
      </c>
      <c r="BB6" s="12" t="str">
        <f t="shared" si="5"/>
        <v>W</v>
      </c>
      <c r="BC6" s="12" t="str">
        <f t="shared" si="5"/>
        <v>T</v>
      </c>
      <c r="BD6" s="12" t="str">
        <f t="shared" si="5"/>
        <v>F</v>
      </c>
      <c r="BE6" s="12" t="str">
        <f t="shared" si="5"/>
        <v>S</v>
      </c>
      <c r="BF6" s="12" t="str">
        <f t="shared" si="5"/>
        <v>S</v>
      </c>
      <c r="BG6" s="12" t="str">
        <f t="shared" si="5"/>
        <v>M</v>
      </c>
      <c r="BH6" s="12" t="str">
        <f t="shared" si="5"/>
        <v>T</v>
      </c>
      <c r="BI6" s="12" t="str">
        <f t="shared" si="5"/>
        <v>W</v>
      </c>
      <c r="BJ6" s="12" t="str">
        <f t="shared" si="5"/>
        <v>T</v>
      </c>
      <c r="BK6" s="12" t="str">
        <f t="shared" si="5"/>
        <v>F</v>
      </c>
      <c r="BL6" s="12" t="str">
        <f t="shared" si="5"/>
        <v>S</v>
      </c>
      <c r="BM6" s="12" t="str">
        <f t="shared" si="5"/>
        <v>S</v>
      </c>
    </row>
    <row r="7" spans="1:65" ht="30" hidden="1" customHeight="1" thickBot="1">
      <c r="A7" s="27" t="s">
        <v>16</v>
      </c>
      <c r="B7" s="92"/>
      <c r="C7" s="93"/>
      <c r="D7" s="92"/>
      <c r="E7" s="92"/>
      <c r="F7" s="92"/>
      <c r="G7" s="92"/>
      <c r="I7" t="str">
        <f ca="1">IF(OR(ISBLANK(task_start),ISBLANK(task_end)),"",task_end-task_start+1)</f>
        <v/>
      </c>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row>
    <row r="8" spans="1:65" ht="30" customHeight="1" thickBot="1">
      <c r="B8" s="58" t="s">
        <v>17</v>
      </c>
      <c r="C8" s="94"/>
      <c r="D8" s="49"/>
      <c r="E8" s="95"/>
      <c r="F8" s="59"/>
      <c r="G8" s="6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row>
    <row r="9" spans="1:65" ht="30" customHeight="1" thickBot="1">
      <c r="B9" s="58" t="s">
        <v>18</v>
      </c>
      <c r="C9" s="94"/>
      <c r="D9" s="49"/>
      <c r="E9" s="95"/>
      <c r="F9" s="59"/>
      <c r="G9" s="6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row>
    <row r="10" spans="1:65" ht="30" customHeight="1" thickBot="1">
      <c r="B10" s="96" t="s">
        <v>19</v>
      </c>
      <c r="C10" s="78" t="s">
        <v>20</v>
      </c>
      <c r="D10" s="50">
        <v>0</v>
      </c>
      <c r="E10" s="97">
        <v>44935</v>
      </c>
      <c r="F10" s="97">
        <v>44935</v>
      </c>
      <c r="G10" s="98">
        <f>NETWORKDAYS(E10,F10)</f>
        <v>1</v>
      </c>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row>
    <row r="11" spans="1:65" ht="33.950000000000003">
      <c r="B11" s="79" t="s">
        <v>21</v>
      </c>
      <c r="C11" s="78"/>
      <c r="D11" s="50"/>
      <c r="E11" s="97"/>
      <c r="F11" s="97"/>
      <c r="G11" s="98"/>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row>
    <row r="12" spans="1:65" ht="30" customHeight="1" thickBot="1">
      <c r="B12" s="79" t="s">
        <v>22</v>
      </c>
      <c r="C12" s="78" t="s">
        <v>23</v>
      </c>
      <c r="D12" s="50">
        <v>0</v>
      </c>
      <c r="E12" s="97">
        <v>44936</v>
      </c>
      <c r="F12" s="97">
        <v>44939</v>
      </c>
      <c r="G12" s="98">
        <f t="shared" ref="G12:G37" si="6">NETWORKDAYS(E12,F12)</f>
        <v>4</v>
      </c>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row>
    <row r="13" spans="1:65" ht="30" customHeight="1" thickBot="1">
      <c r="B13" s="79" t="s">
        <v>24</v>
      </c>
      <c r="C13" s="78" t="s">
        <v>23</v>
      </c>
      <c r="D13" s="50">
        <v>0</v>
      </c>
      <c r="E13" s="97">
        <v>44939</v>
      </c>
      <c r="F13" s="97">
        <v>44939</v>
      </c>
      <c r="G13" s="98">
        <f t="shared" ref="G13" si="7">NETWORKDAYS(E13,F13)</f>
        <v>1</v>
      </c>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row>
    <row r="14" spans="1:65" ht="30" customHeight="1" thickBot="1">
      <c r="B14" s="79" t="s">
        <v>25</v>
      </c>
      <c r="C14" s="78" t="s">
        <v>26</v>
      </c>
      <c r="D14" s="50">
        <v>0</v>
      </c>
      <c r="E14" s="97">
        <v>44942</v>
      </c>
      <c r="F14" s="97">
        <v>44942</v>
      </c>
      <c r="G14" s="98">
        <f t="shared" si="6"/>
        <v>1</v>
      </c>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row>
    <row r="15" spans="1:65" ht="30" customHeight="1">
      <c r="B15" s="79" t="s">
        <v>27</v>
      </c>
      <c r="C15" s="78" t="s">
        <v>23</v>
      </c>
      <c r="D15" s="50">
        <v>0</v>
      </c>
      <c r="E15" s="97">
        <v>44935</v>
      </c>
      <c r="F15" s="97">
        <v>44942</v>
      </c>
      <c r="G15" s="98">
        <f t="shared" ref="G15" si="8">NETWORKDAYS(E15,F15)</f>
        <v>6</v>
      </c>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row>
    <row r="16" spans="1:65" ht="51.95" thickBot="1">
      <c r="B16" s="79" t="s">
        <v>28</v>
      </c>
      <c r="C16" s="78"/>
      <c r="D16" s="50"/>
      <c r="E16" s="97"/>
      <c r="F16" s="97"/>
      <c r="G16" s="98"/>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row>
    <row r="17" spans="2:65" ht="30" customHeight="1" thickBot="1">
      <c r="B17" s="79" t="s">
        <v>29</v>
      </c>
      <c r="C17" s="78" t="s">
        <v>23</v>
      </c>
      <c r="D17" s="50">
        <v>0</v>
      </c>
      <c r="E17" s="97">
        <v>44939</v>
      </c>
      <c r="F17" s="97">
        <v>44939</v>
      </c>
      <c r="G17" s="98">
        <f t="shared" ref="G17:G18" si="9">NETWORKDAYS(E17,F17)</f>
        <v>1</v>
      </c>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row>
    <row r="18" spans="2:65" ht="30" customHeight="1" thickBot="1">
      <c r="B18" s="79" t="s">
        <v>30</v>
      </c>
      <c r="C18" s="78"/>
      <c r="D18" s="50">
        <v>0</v>
      </c>
      <c r="E18" s="97">
        <v>44943</v>
      </c>
      <c r="F18" s="97">
        <v>44943</v>
      </c>
      <c r="G18" s="98">
        <f t="shared" si="9"/>
        <v>1</v>
      </c>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row>
    <row r="19" spans="2:65" ht="30" customHeight="1" thickBot="1">
      <c r="B19" s="79" t="s">
        <v>31</v>
      </c>
      <c r="C19" s="78" t="s">
        <v>20</v>
      </c>
      <c r="D19" s="50">
        <v>0</v>
      </c>
      <c r="E19" s="97">
        <v>44939</v>
      </c>
      <c r="F19" s="97">
        <v>44939</v>
      </c>
      <c r="G19" s="98">
        <f t="shared" ref="G19" si="10">NETWORKDAYS(E19,F19)</f>
        <v>1</v>
      </c>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row>
    <row r="20" spans="2:65" ht="30" customHeight="1" thickBot="1">
      <c r="B20" s="79" t="s">
        <v>32</v>
      </c>
      <c r="C20" s="78" t="s">
        <v>26</v>
      </c>
      <c r="D20" s="50">
        <v>0</v>
      </c>
      <c r="E20" s="97">
        <v>44956</v>
      </c>
      <c r="F20" s="97">
        <v>44956</v>
      </c>
      <c r="G20" s="98">
        <f t="shared" ref="G20" si="11">NETWORKDAYS(E20,F20)</f>
        <v>1</v>
      </c>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row>
    <row r="21" spans="2:65" ht="30" customHeight="1" thickBot="1">
      <c r="B21" s="122" t="s">
        <v>33</v>
      </c>
      <c r="C21" s="123"/>
      <c r="D21" s="123"/>
      <c r="E21" s="123"/>
      <c r="F21" s="123"/>
      <c r="G21" s="1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row>
    <row r="22" spans="2:65" ht="30" customHeight="1" thickBot="1">
      <c r="B22" s="58" t="s">
        <v>34</v>
      </c>
      <c r="C22" s="94"/>
      <c r="D22" s="49"/>
      <c r="E22" s="95"/>
      <c r="F22" s="59"/>
      <c r="G22" s="6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row>
    <row r="23" spans="2:65" ht="30" customHeight="1" thickBot="1">
      <c r="B23" s="96" t="s">
        <v>19</v>
      </c>
      <c r="C23" s="78" t="s">
        <v>20</v>
      </c>
      <c r="D23" s="50">
        <v>0</v>
      </c>
      <c r="E23" s="97">
        <v>44942</v>
      </c>
      <c r="F23" s="97">
        <v>44942</v>
      </c>
      <c r="G23" s="98">
        <f>NETWORKDAYS(E23,F23)</f>
        <v>1</v>
      </c>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row>
    <row r="24" spans="2:65" ht="35.1" thickBot="1">
      <c r="B24" s="79" t="s">
        <v>21</v>
      </c>
      <c r="C24" s="78"/>
      <c r="D24" s="50"/>
      <c r="E24" s="97"/>
      <c r="F24" s="97"/>
      <c r="G24" s="98"/>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row>
    <row r="25" spans="2:65" ht="30" customHeight="1" thickBot="1">
      <c r="B25" s="79" t="s">
        <v>22</v>
      </c>
      <c r="C25" s="78" t="s">
        <v>23</v>
      </c>
      <c r="D25" s="50">
        <v>0</v>
      </c>
      <c r="E25" s="97">
        <v>44943</v>
      </c>
      <c r="F25" s="97">
        <v>44946</v>
      </c>
      <c r="G25" s="98">
        <f t="shared" ref="G25:G28" si="12">NETWORKDAYS(E25,F25)</f>
        <v>4</v>
      </c>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row>
    <row r="26" spans="2:65" ht="30" customHeight="1" thickBot="1">
      <c r="B26" s="79" t="s">
        <v>24</v>
      </c>
      <c r="C26" s="78" t="s">
        <v>23</v>
      </c>
      <c r="D26" s="50">
        <v>0</v>
      </c>
      <c r="E26" s="97">
        <v>44946</v>
      </c>
      <c r="F26" s="97">
        <v>44946</v>
      </c>
      <c r="G26" s="98">
        <f t="shared" si="12"/>
        <v>1</v>
      </c>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row>
    <row r="27" spans="2:65" ht="30" customHeight="1" thickBot="1">
      <c r="B27" s="79" t="s">
        <v>25</v>
      </c>
      <c r="C27" s="78" t="s">
        <v>26</v>
      </c>
      <c r="D27" s="50">
        <v>0</v>
      </c>
      <c r="E27" s="97">
        <v>44949</v>
      </c>
      <c r="F27" s="97">
        <v>44949</v>
      </c>
      <c r="G27" s="98">
        <f t="shared" si="12"/>
        <v>1</v>
      </c>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row>
    <row r="28" spans="2:65" ht="30" customHeight="1" thickBot="1">
      <c r="B28" s="79" t="s">
        <v>27</v>
      </c>
      <c r="C28" s="78" t="s">
        <v>23</v>
      </c>
      <c r="D28" s="50">
        <v>0</v>
      </c>
      <c r="E28" s="97">
        <v>44942</v>
      </c>
      <c r="F28" s="97">
        <v>44949</v>
      </c>
      <c r="G28" s="98">
        <f t="shared" si="12"/>
        <v>6</v>
      </c>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row>
    <row r="29" spans="2:65" ht="51.95" thickBot="1">
      <c r="B29" s="79" t="s">
        <v>35</v>
      </c>
      <c r="C29" s="78"/>
      <c r="D29" s="50"/>
      <c r="E29" s="97"/>
      <c r="F29" s="97"/>
      <c r="G29" s="98"/>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row>
    <row r="30" spans="2:65" ht="30" customHeight="1" thickBot="1">
      <c r="B30" s="79" t="s">
        <v>29</v>
      </c>
      <c r="C30" s="78" t="s">
        <v>23</v>
      </c>
      <c r="D30" s="50">
        <v>0</v>
      </c>
      <c r="E30" s="97">
        <v>44946</v>
      </c>
      <c r="F30" s="97">
        <v>44946</v>
      </c>
      <c r="G30" s="98">
        <f t="shared" ref="G30:G32" si="13">NETWORKDAYS(E30,F30)</f>
        <v>1</v>
      </c>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row>
    <row r="31" spans="2:65" ht="30" customHeight="1" thickBot="1">
      <c r="B31" s="79" t="s">
        <v>30</v>
      </c>
      <c r="C31" s="78"/>
      <c r="D31" s="50">
        <v>0</v>
      </c>
      <c r="E31" s="97">
        <v>44949</v>
      </c>
      <c r="F31" s="97">
        <v>44949</v>
      </c>
      <c r="G31" s="98">
        <f t="shared" si="13"/>
        <v>1</v>
      </c>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row>
    <row r="32" spans="2:65" ht="30" customHeight="1" thickBot="1">
      <c r="B32" s="79" t="s">
        <v>31</v>
      </c>
      <c r="C32" s="78" t="s">
        <v>20</v>
      </c>
      <c r="D32" s="50">
        <v>0</v>
      </c>
      <c r="E32" s="97">
        <v>44946</v>
      </c>
      <c r="F32" s="97">
        <v>44946</v>
      </c>
      <c r="G32" s="98">
        <f t="shared" si="13"/>
        <v>1</v>
      </c>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row>
    <row r="33" spans="1:65" ht="30" customHeight="1" thickBot="1">
      <c r="B33" s="79" t="s">
        <v>32</v>
      </c>
      <c r="C33" s="78" t="s">
        <v>26</v>
      </c>
      <c r="D33" s="50">
        <v>0</v>
      </c>
      <c r="E33" s="97">
        <v>44964</v>
      </c>
      <c r="F33" s="97">
        <v>44964</v>
      </c>
      <c r="G33" s="98">
        <f>NETWORKDAYS(E33,F33)</f>
        <v>1</v>
      </c>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row>
    <row r="34" spans="1:65" ht="30" customHeight="1" thickBot="1">
      <c r="B34" s="122" t="s">
        <v>36</v>
      </c>
      <c r="C34" s="123"/>
      <c r="D34" s="123"/>
      <c r="E34" s="123"/>
      <c r="F34" s="123"/>
      <c r="G34" s="1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row>
    <row r="35" spans="1:65" s="3" customFormat="1" ht="30" customHeight="1" thickBot="1">
      <c r="A35" s="28" t="s">
        <v>37</v>
      </c>
      <c r="B35" s="41" t="s">
        <v>38</v>
      </c>
      <c r="C35" s="55"/>
      <c r="D35" s="42"/>
      <c r="E35" s="99"/>
      <c r="F35" s="43"/>
      <c r="G35" s="64"/>
      <c r="H35" s="16"/>
      <c r="I35" s="16" t="str">
        <f t="shared" ref="I35:I97" ca="1" si="14">IF(OR(ISBLANK(task_start),ISBLANK(task_end)),"",task_end-task_start+1)</f>
        <v/>
      </c>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row>
    <row r="36" spans="1:65" s="3" customFormat="1" ht="30" customHeight="1" thickBot="1">
      <c r="A36" s="28"/>
      <c r="B36" s="87" t="s">
        <v>39</v>
      </c>
      <c r="C36" s="80" t="s">
        <v>23</v>
      </c>
      <c r="D36" s="44">
        <v>0</v>
      </c>
      <c r="E36" s="100">
        <v>44935</v>
      </c>
      <c r="F36" s="100">
        <v>44938</v>
      </c>
      <c r="G36" s="101">
        <f t="shared" si="6"/>
        <v>4</v>
      </c>
      <c r="H36" s="16"/>
      <c r="I36" s="16">
        <f t="shared" ca="1" si="14"/>
        <v>4</v>
      </c>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row>
    <row r="37" spans="1:65" s="3" customFormat="1" ht="30" customHeight="1" thickBot="1">
      <c r="A37" s="27"/>
      <c r="B37" s="87" t="s">
        <v>40</v>
      </c>
      <c r="C37" s="80" t="s">
        <v>20</v>
      </c>
      <c r="D37" s="44">
        <v>0</v>
      </c>
      <c r="E37" s="100">
        <v>44939</v>
      </c>
      <c r="F37" s="100">
        <v>44939</v>
      </c>
      <c r="G37" s="101">
        <f t="shared" si="6"/>
        <v>1</v>
      </c>
      <c r="H37" s="16"/>
      <c r="I37" s="16">
        <f t="shared" ca="1" si="14"/>
        <v>1</v>
      </c>
      <c r="J37" s="23"/>
      <c r="K37" s="23"/>
      <c r="L37" s="23"/>
      <c r="M37" s="23"/>
      <c r="N37" s="23"/>
      <c r="O37" s="23"/>
      <c r="P37" s="23"/>
      <c r="Q37" s="23"/>
      <c r="R37" s="23"/>
      <c r="S37" s="23"/>
      <c r="T37" s="23"/>
      <c r="U37" s="23"/>
      <c r="V37" s="24"/>
      <c r="W37" s="24"/>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row>
    <row r="38" spans="1:65" s="3" customFormat="1" ht="30" customHeight="1" thickBot="1">
      <c r="A38" s="27"/>
      <c r="B38" s="87" t="s">
        <v>41</v>
      </c>
      <c r="C38" s="80" t="s">
        <v>20</v>
      </c>
      <c r="D38" s="44">
        <v>0</v>
      </c>
      <c r="E38" s="100">
        <v>44939</v>
      </c>
      <c r="F38" s="100">
        <v>44939</v>
      </c>
      <c r="G38" s="101">
        <f t="shared" ref="G38" si="15">NETWORKDAYS(E38,F38)</f>
        <v>1</v>
      </c>
      <c r="H38" s="16"/>
      <c r="I38" s="16">
        <f t="shared" ca="1" si="14"/>
        <v>1</v>
      </c>
      <c r="J38" s="23"/>
      <c r="K38" s="23"/>
      <c r="L38" s="23"/>
      <c r="M38" s="23"/>
      <c r="N38" s="23"/>
      <c r="O38" s="23"/>
      <c r="P38" s="23"/>
      <c r="Q38" s="23"/>
      <c r="R38" s="23"/>
      <c r="S38" s="23"/>
      <c r="T38" s="23"/>
      <c r="U38" s="23"/>
      <c r="V38" s="24"/>
      <c r="W38" s="24"/>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row>
    <row r="39" spans="1:65" s="3" customFormat="1" ht="30" customHeight="1" thickBot="1">
      <c r="A39" s="27"/>
      <c r="B39" s="81" t="s">
        <v>42</v>
      </c>
      <c r="C39" s="102"/>
      <c r="D39" s="72"/>
      <c r="E39" s="103"/>
      <c r="F39" s="103"/>
      <c r="G39" s="104"/>
      <c r="H39" s="16"/>
      <c r="I39" s="16"/>
      <c r="J39" s="23"/>
      <c r="K39" s="23"/>
      <c r="L39" s="23"/>
      <c r="M39" s="23"/>
      <c r="N39" s="23"/>
      <c r="O39" s="23"/>
      <c r="P39" s="23"/>
      <c r="Q39" s="23"/>
      <c r="R39" s="23"/>
      <c r="S39" s="23"/>
      <c r="T39" s="23"/>
      <c r="U39" s="23"/>
      <c r="V39" s="24"/>
      <c r="W39" s="24"/>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row>
    <row r="40" spans="1:65" s="3" customFormat="1" ht="30" customHeight="1" thickBot="1">
      <c r="A40" s="27"/>
      <c r="B40" s="81" t="s">
        <v>18</v>
      </c>
      <c r="C40" s="102"/>
      <c r="D40" s="72"/>
      <c r="E40" s="103"/>
      <c r="F40" s="103"/>
      <c r="G40" s="104"/>
      <c r="H40" s="16"/>
      <c r="I40" s="16"/>
      <c r="J40" s="23"/>
      <c r="K40" s="23"/>
      <c r="L40" s="23"/>
      <c r="M40" s="23"/>
      <c r="N40" s="23"/>
      <c r="O40" s="23"/>
      <c r="P40" s="23"/>
      <c r="Q40" s="23"/>
      <c r="R40" s="23"/>
      <c r="S40" s="23"/>
      <c r="T40" s="23"/>
      <c r="U40" s="23"/>
      <c r="V40" s="24"/>
      <c r="W40" s="24"/>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row>
    <row r="41" spans="1:65" s="3" customFormat="1" ht="30" customHeight="1" thickBot="1">
      <c r="A41" s="27"/>
      <c r="B41" s="82" t="s">
        <v>43</v>
      </c>
      <c r="C41" s="83" t="s">
        <v>20</v>
      </c>
      <c r="D41" s="73">
        <v>0</v>
      </c>
      <c r="E41" s="84">
        <v>44942</v>
      </c>
      <c r="F41" s="84">
        <v>44942</v>
      </c>
      <c r="G41" s="105">
        <f t="shared" ref="G41" si="16">NETWORKDAYS(E41,F41)</f>
        <v>1</v>
      </c>
      <c r="H41" s="16"/>
      <c r="I41" s="16"/>
      <c r="J41" s="23"/>
      <c r="K41" s="23"/>
      <c r="L41" s="23"/>
      <c r="M41" s="23"/>
      <c r="N41" s="23"/>
      <c r="O41" s="23"/>
      <c r="P41" s="23"/>
      <c r="Q41" s="23"/>
      <c r="R41" s="23"/>
      <c r="S41" s="23"/>
      <c r="T41" s="23"/>
      <c r="U41" s="23"/>
      <c r="V41" s="24"/>
      <c r="W41" s="24"/>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row>
    <row r="42" spans="1:65" s="3" customFormat="1" ht="30" customHeight="1" thickBot="1">
      <c r="A42" s="27"/>
      <c r="B42" s="82" t="s">
        <v>44</v>
      </c>
      <c r="C42" s="83" t="s">
        <v>20</v>
      </c>
      <c r="D42" s="73">
        <v>0</v>
      </c>
      <c r="E42" s="84">
        <v>44942</v>
      </c>
      <c r="F42" s="84">
        <v>44942</v>
      </c>
      <c r="G42" s="105">
        <f t="shared" ref="G42" si="17">NETWORKDAYS(E42,F42)</f>
        <v>1</v>
      </c>
      <c r="H42" s="16"/>
      <c r="I42" s="16"/>
      <c r="J42" s="23"/>
      <c r="K42" s="23"/>
      <c r="L42" s="23"/>
      <c r="M42" s="23"/>
      <c r="N42" s="23"/>
      <c r="O42" s="23"/>
      <c r="P42" s="23"/>
      <c r="Q42" s="23"/>
      <c r="R42" s="23"/>
      <c r="S42" s="23"/>
      <c r="T42" s="23"/>
      <c r="U42" s="23"/>
      <c r="V42" s="24"/>
      <c r="W42" s="24"/>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row>
    <row r="43" spans="1:65" s="3" customFormat="1" ht="30" customHeight="1" thickBot="1">
      <c r="A43" s="27"/>
      <c r="B43" s="82" t="s">
        <v>45</v>
      </c>
      <c r="C43" s="83" t="s">
        <v>26</v>
      </c>
      <c r="D43" s="73">
        <v>0</v>
      </c>
      <c r="E43" s="84">
        <v>44970</v>
      </c>
      <c r="F43" s="84">
        <v>44970</v>
      </c>
      <c r="G43" s="105">
        <f t="shared" ref="G43" si="18">NETWORKDAYS(E43,F43)</f>
        <v>1</v>
      </c>
      <c r="H43" s="16"/>
      <c r="I43" s="16"/>
      <c r="J43" s="23"/>
      <c r="K43" s="23"/>
      <c r="L43" s="23"/>
      <c r="M43" s="23"/>
      <c r="N43" s="23"/>
      <c r="O43" s="23"/>
      <c r="P43" s="23"/>
      <c r="Q43" s="23"/>
      <c r="R43" s="23"/>
      <c r="S43" s="23"/>
      <c r="T43" s="23"/>
      <c r="U43" s="23"/>
      <c r="V43" s="24"/>
      <c r="W43" s="24"/>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row>
    <row r="44" spans="1:65" s="3" customFormat="1" ht="39" customHeight="1" thickBot="1">
      <c r="A44" s="27"/>
      <c r="B44" s="120" t="s">
        <v>46</v>
      </c>
      <c r="C44" s="121"/>
      <c r="D44" s="121"/>
      <c r="E44" s="121"/>
      <c r="F44" s="121"/>
      <c r="G44" s="121"/>
      <c r="H44" s="16"/>
      <c r="I44" s="16"/>
      <c r="J44" s="23"/>
      <c r="K44" s="23"/>
      <c r="L44" s="23"/>
      <c r="M44" s="23"/>
      <c r="N44" s="23"/>
      <c r="O44" s="23"/>
      <c r="P44" s="23"/>
      <c r="Q44" s="23"/>
      <c r="R44" s="23"/>
      <c r="S44" s="23"/>
      <c r="T44" s="23"/>
      <c r="U44" s="23"/>
      <c r="V44" s="24"/>
      <c r="W44" s="24"/>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row>
    <row r="45" spans="1:65" s="3" customFormat="1" ht="30" customHeight="1" thickBot="1">
      <c r="A45" s="27"/>
      <c r="B45" s="81" t="s">
        <v>34</v>
      </c>
      <c r="C45" s="102"/>
      <c r="D45" s="72"/>
      <c r="E45" s="103"/>
      <c r="F45" s="103"/>
      <c r="G45" s="104"/>
      <c r="H45" s="16"/>
      <c r="I45" s="16"/>
      <c r="J45" s="23"/>
      <c r="K45" s="23"/>
      <c r="L45" s="23"/>
      <c r="M45" s="23"/>
      <c r="N45" s="23"/>
      <c r="O45" s="23"/>
      <c r="P45" s="23"/>
      <c r="Q45" s="23"/>
      <c r="R45" s="23"/>
      <c r="S45" s="23"/>
      <c r="T45" s="23"/>
      <c r="U45" s="23"/>
      <c r="V45" s="24"/>
      <c r="W45" s="24"/>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row>
    <row r="46" spans="1:65" s="3" customFormat="1" ht="30" customHeight="1" thickBot="1">
      <c r="A46" s="27"/>
      <c r="B46" s="82" t="s">
        <v>43</v>
      </c>
      <c r="C46" s="83" t="s">
        <v>20</v>
      </c>
      <c r="D46" s="73">
        <v>0</v>
      </c>
      <c r="E46" s="84">
        <v>44949</v>
      </c>
      <c r="F46" s="84">
        <v>44949</v>
      </c>
      <c r="G46" s="105">
        <f t="shared" ref="G46:G48" si="19">NETWORKDAYS(E46,F46)</f>
        <v>1</v>
      </c>
      <c r="H46" s="16"/>
      <c r="I46" s="16"/>
      <c r="J46" s="23"/>
      <c r="K46" s="23"/>
      <c r="L46" s="23"/>
      <c r="M46" s="23"/>
      <c r="N46" s="23"/>
      <c r="O46" s="23"/>
      <c r="P46" s="23"/>
      <c r="Q46" s="23"/>
      <c r="R46" s="23"/>
      <c r="S46" s="23"/>
      <c r="T46" s="23"/>
      <c r="U46" s="23"/>
      <c r="V46" s="24"/>
      <c r="W46" s="24"/>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row>
    <row r="47" spans="1:65" s="3" customFormat="1" ht="30" customHeight="1" thickBot="1">
      <c r="A47" s="27"/>
      <c r="B47" s="82" t="s">
        <v>44</v>
      </c>
      <c r="C47" s="83" t="s">
        <v>20</v>
      </c>
      <c r="D47" s="73">
        <v>0</v>
      </c>
      <c r="E47" s="84">
        <v>44949</v>
      </c>
      <c r="F47" s="84">
        <v>44949</v>
      </c>
      <c r="G47" s="105">
        <f t="shared" si="19"/>
        <v>1</v>
      </c>
      <c r="H47" s="16"/>
      <c r="I47" s="16"/>
      <c r="J47" s="23"/>
      <c r="K47" s="23"/>
      <c r="L47" s="23"/>
      <c r="M47" s="23"/>
      <c r="N47" s="23"/>
      <c r="O47" s="23"/>
      <c r="P47" s="23"/>
      <c r="Q47" s="23"/>
      <c r="R47" s="23"/>
      <c r="S47" s="23"/>
      <c r="T47" s="23"/>
      <c r="U47" s="23"/>
      <c r="V47" s="24"/>
      <c r="W47" s="24"/>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row>
    <row r="48" spans="1:65" s="3" customFormat="1" ht="30" customHeight="1" thickBot="1">
      <c r="A48" s="27"/>
      <c r="B48" s="82" t="s">
        <v>45</v>
      </c>
      <c r="C48" s="83" t="s">
        <v>26</v>
      </c>
      <c r="D48" s="73">
        <v>0</v>
      </c>
      <c r="E48" s="84">
        <v>44971</v>
      </c>
      <c r="F48" s="84">
        <v>44971</v>
      </c>
      <c r="G48" s="105">
        <f t="shared" si="19"/>
        <v>1</v>
      </c>
      <c r="H48" s="16"/>
      <c r="I48" s="16"/>
      <c r="J48" s="23"/>
      <c r="K48" s="23"/>
      <c r="L48" s="23"/>
      <c r="M48" s="23"/>
      <c r="N48" s="23"/>
      <c r="O48" s="23"/>
      <c r="P48" s="23"/>
      <c r="Q48" s="23"/>
      <c r="R48" s="23"/>
      <c r="S48" s="23"/>
      <c r="T48" s="23"/>
      <c r="U48" s="23"/>
      <c r="V48" s="24"/>
      <c r="W48" s="24"/>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row>
    <row r="49" spans="1:65" s="3" customFormat="1" ht="38.1" customHeight="1" thickBot="1">
      <c r="A49" s="27"/>
      <c r="B49" s="120" t="s">
        <v>46</v>
      </c>
      <c r="C49" s="121"/>
      <c r="D49" s="121"/>
      <c r="E49" s="121"/>
      <c r="F49" s="121"/>
      <c r="G49" s="121"/>
      <c r="H49" s="16"/>
      <c r="I49" s="16"/>
      <c r="J49" s="23"/>
      <c r="K49" s="23"/>
      <c r="L49" s="23"/>
      <c r="M49" s="23"/>
      <c r="N49" s="23"/>
      <c r="O49" s="23"/>
      <c r="P49" s="23"/>
      <c r="Q49" s="23"/>
      <c r="R49" s="23"/>
      <c r="S49" s="23"/>
      <c r="T49" s="23"/>
      <c r="U49" s="23"/>
      <c r="V49" s="24"/>
      <c r="W49" s="24"/>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row>
    <row r="50" spans="1:65" s="3" customFormat="1" ht="30" customHeight="1" thickBot="1">
      <c r="A50" s="27"/>
      <c r="B50" s="77" t="s">
        <v>47</v>
      </c>
      <c r="C50" s="106"/>
      <c r="D50" s="76"/>
      <c r="E50" s="107"/>
      <c r="F50" s="107"/>
      <c r="G50" s="108"/>
      <c r="H50" s="16"/>
      <c r="I50" s="16"/>
      <c r="J50" s="23"/>
      <c r="K50" s="23"/>
      <c r="L50" s="23"/>
      <c r="M50" s="23"/>
      <c r="N50" s="23"/>
      <c r="O50" s="23"/>
      <c r="P50" s="23"/>
      <c r="Q50" s="23"/>
      <c r="R50" s="23"/>
      <c r="S50" s="23"/>
      <c r="T50" s="23"/>
      <c r="U50" s="23"/>
      <c r="V50" s="24"/>
      <c r="W50" s="24"/>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row>
    <row r="51" spans="1:65" s="3" customFormat="1" ht="30" customHeight="1" thickBot="1">
      <c r="A51" s="27"/>
      <c r="B51" s="88" t="s">
        <v>48</v>
      </c>
      <c r="C51" s="85" t="s">
        <v>49</v>
      </c>
      <c r="D51" s="75">
        <v>0</v>
      </c>
      <c r="E51" s="109">
        <v>44939</v>
      </c>
      <c r="F51" s="109">
        <v>44939</v>
      </c>
      <c r="G51" s="110">
        <f t="shared" ref="G51" si="20">NETWORKDAYS(E51,F51)</f>
        <v>1</v>
      </c>
      <c r="H51" s="16"/>
      <c r="I51" s="16"/>
      <c r="J51" s="23"/>
      <c r="K51" s="23"/>
      <c r="L51" s="23"/>
      <c r="M51" s="23"/>
      <c r="N51" s="23"/>
      <c r="O51" s="23"/>
      <c r="P51" s="23"/>
      <c r="Q51" s="23"/>
      <c r="R51" s="23"/>
      <c r="S51" s="23"/>
      <c r="T51" s="23"/>
      <c r="U51" s="23"/>
      <c r="V51" s="24"/>
      <c r="W51" s="24"/>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row>
    <row r="52" spans="1:65" s="3" customFormat="1" ht="30" customHeight="1" thickBot="1">
      <c r="A52" s="27"/>
      <c r="B52" s="88" t="s">
        <v>50</v>
      </c>
      <c r="C52" s="85" t="s">
        <v>49</v>
      </c>
      <c r="D52" s="75">
        <v>0</v>
      </c>
      <c r="E52" s="109">
        <v>44943</v>
      </c>
      <c r="F52" s="109">
        <v>44943</v>
      </c>
      <c r="G52" s="110">
        <f t="shared" ref="G52" si="21">NETWORKDAYS(E52,F52)</f>
        <v>1</v>
      </c>
      <c r="H52" s="16"/>
      <c r="I52" s="16"/>
      <c r="J52" s="23"/>
      <c r="K52" s="23"/>
      <c r="L52" s="23"/>
      <c r="M52" s="23"/>
      <c r="N52" s="23"/>
      <c r="O52" s="23"/>
      <c r="P52" s="23"/>
      <c r="Q52" s="23"/>
      <c r="R52" s="23"/>
      <c r="S52" s="23"/>
      <c r="T52" s="23"/>
      <c r="U52" s="23"/>
      <c r="V52" s="24"/>
      <c r="W52" s="24"/>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row>
    <row r="53" spans="1:65" s="3" customFormat="1" ht="30" customHeight="1" thickBot="1">
      <c r="A53" s="27"/>
      <c r="B53" s="88" t="s">
        <v>51</v>
      </c>
      <c r="C53" s="85" t="s">
        <v>49</v>
      </c>
      <c r="D53" s="75">
        <v>0</v>
      </c>
      <c r="E53" s="109">
        <v>44949</v>
      </c>
      <c r="F53" s="109">
        <v>44949</v>
      </c>
      <c r="G53" s="110">
        <f t="shared" ref="G53" si="22">NETWORKDAYS(E53,F53)</f>
        <v>1</v>
      </c>
      <c r="H53" s="16"/>
      <c r="I53" s="16"/>
      <c r="J53" s="23"/>
      <c r="K53" s="23"/>
      <c r="L53" s="23"/>
      <c r="M53" s="23"/>
      <c r="N53" s="23"/>
      <c r="O53" s="23"/>
      <c r="P53" s="23"/>
      <c r="Q53" s="23"/>
      <c r="R53" s="23"/>
      <c r="S53" s="23"/>
      <c r="T53" s="23"/>
      <c r="U53" s="23"/>
      <c r="V53" s="24"/>
      <c r="W53" s="24"/>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row>
    <row r="54" spans="1:65" s="3" customFormat="1" ht="30" customHeight="1" thickBot="1">
      <c r="A54" s="27" t="s">
        <v>52</v>
      </c>
      <c r="B54" s="45" t="s">
        <v>53</v>
      </c>
      <c r="C54" s="56"/>
      <c r="D54" s="46"/>
      <c r="E54" s="111"/>
      <c r="F54" s="47"/>
      <c r="G54" s="65"/>
      <c r="H54" s="16"/>
      <c r="I54" s="16" t="str">
        <f t="shared" ca="1" si="14"/>
        <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row>
    <row r="55" spans="1:65" s="3" customFormat="1" ht="30" customHeight="1" thickBot="1">
      <c r="A55" s="27"/>
      <c r="B55" s="45" t="s">
        <v>18</v>
      </c>
      <c r="C55" s="56"/>
      <c r="D55" s="46"/>
      <c r="E55" s="111"/>
      <c r="F55" s="47"/>
      <c r="G55" s="65"/>
      <c r="H55" s="16"/>
      <c r="I55" s="16"/>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row>
    <row r="56" spans="1:65" s="3" customFormat="1" ht="30" customHeight="1" thickBot="1">
      <c r="A56" s="27"/>
      <c r="B56" s="89" t="s">
        <v>54</v>
      </c>
      <c r="C56" s="86" t="s">
        <v>23</v>
      </c>
      <c r="D56" s="48">
        <v>0</v>
      </c>
      <c r="E56" s="112">
        <v>44935</v>
      </c>
      <c r="F56" s="112">
        <v>44942</v>
      </c>
      <c r="G56" s="113">
        <f t="shared" ref="G56:G67" si="23">NETWORKDAYS(E56,F56)</f>
        <v>6</v>
      </c>
      <c r="H56" s="16"/>
      <c r="I56" s="16"/>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row>
    <row r="57" spans="1:65" s="3" customFormat="1" ht="30" customHeight="1" thickBot="1">
      <c r="A57" s="27"/>
      <c r="B57" s="89" t="s">
        <v>55</v>
      </c>
      <c r="C57" s="86" t="s">
        <v>23</v>
      </c>
      <c r="D57" s="48">
        <v>0</v>
      </c>
      <c r="E57" s="112">
        <v>44946</v>
      </c>
      <c r="F57" s="112">
        <v>44946</v>
      </c>
      <c r="G57" s="113">
        <f t="shared" si="23"/>
        <v>1</v>
      </c>
      <c r="H57" s="16"/>
      <c r="I57" s="16"/>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row>
    <row r="58" spans="1:65" s="3" customFormat="1" ht="30" customHeight="1" thickBot="1">
      <c r="A58" s="27"/>
      <c r="B58" s="89" t="s">
        <v>56</v>
      </c>
      <c r="C58" s="86" t="s">
        <v>20</v>
      </c>
      <c r="D58" s="48">
        <v>0</v>
      </c>
      <c r="E58" s="112">
        <v>44949</v>
      </c>
      <c r="F58" s="112">
        <v>44949</v>
      </c>
      <c r="G58" s="113">
        <f t="shared" si="23"/>
        <v>1</v>
      </c>
      <c r="H58" s="16"/>
      <c r="I58" s="16"/>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row>
    <row r="59" spans="1:65" s="3" customFormat="1" ht="30" customHeight="1" thickBot="1">
      <c r="A59" s="27"/>
      <c r="B59" s="89" t="s">
        <v>57</v>
      </c>
      <c r="C59" s="86" t="s">
        <v>20</v>
      </c>
      <c r="D59" s="48">
        <v>0</v>
      </c>
      <c r="E59" s="112">
        <v>44949</v>
      </c>
      <c r="F59" s="112">
        <v>44949</v>
      </c>
      <c r="G59" s="113">
        <f t="shared" si="23"/>
        <v>1</v>
      </c>
      <c r="H59" s="16"/>
      <c r="I59" s="16"/>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row>
    <row r="60" spans="1:65" s="3" customFormat="1" ht="30" customHeight="1" thickBot="1">
      <c r="A60" s="27"/>
      <c r="B60" s="89" t="s">
        <v>58</v>
      </c>
      <c r="C60" s="86" t="s">
        <v>23</v>
      </c>
      <c r="D60" s="48">
        <v>0</v>
      </c>
      <c r="E60" s="112">
        <v>44956</v>
      </c>
      <c r="F60" s="112">
        <v>44956</v>
      </c>
      <c r="G60" s="113">
        <f t="shared" si="23"/>
        <v>1</v>
      </c>
      <c r="H60" s="16"/>
      <c r="I60" s="16"/>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row>
    <row r="61" spans="1:65" s="3" customFormat="1" ht="30" customHeight="1" thickBot="1">
      <c r="A61" s="27"/>
      <c r="B61" s="89" t="s">
        <v>59</v>
      </c>
      <c r="C61" s="86" t="s">
        <v>20</v>
      </c>
      <c r="D61" s="48">
        <v>0</v>
      </c>
      <c r="E61" s="112">
        <v>44956</v>
      </c>
      <c r="F61" s="112">
        <v>44956</v>
      </c>
      <c r="G61" s="113">
        <f t="shared" si="23"/>
        <v>1</v>
      </c>
      <c r="H61" s="16"/>
      <c r="I61" s="16"/>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row>
    <row r="62" spans="1:65" s="3" customFormat="1" ht="30" customHeight="1" thickBot="1">
      <c r="A62" s="27"/>
      <c r="B62" s="89" t="s">
        <v>60</v>
      </c>
      <c r="C62" s="86" t="s">
        <v>20</v>
      </c>
      <c r="D62" s="48">
        <v>0</v>
      </c>
      <c r="E62" s="112">
        <v>44953</v>
      </c>
      <c r="F62" s="112">
        <v>44953</v>
      </c>
      <c r="G62" s="113">
        <f t="shared" si="23"/>
        <v>1</v>
      </c>
      <c r="H62" s="16"/>
      <c r="I62" s="16">
        <f t="shared" ca="1" si="14"/>
        <v>1</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row>
    <row r="63" spans="1:65" s="3" customFormat="1" ht="30" customHeight="1" thickBot="1">
      <c r="A63" s="27"/>
      <c r="B63" s="89" t="s">
        <v>61</v>
      </c>
      <c r="C63" s="86" t="s">
        <v>20</v>
      </c>
      <c r="D63" s="48">
        <v>0</v>
      </c>
      <c r="E63" s="112">
        <v>44953</v>
      </c>
      <c r="F63" s="112">
        <v>44953</v>
      </c>
      <c r="G63" s="113">
        <f t="shared" si="23"/>
        <v>1</v>
      </c>
      <c r="H63" s="16"/>
      <c r="I63" s="16">
        <f t="shared" ca="1" si="14"/>
        <v>1</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row>
    <row r="64" spans="1:65" s="3" customFormat="1" ht="30" customHeight="1" thickBot="1">
      <c r="A64" s="27"/>
      <c r="B64" s="89" t="s">
        <v>62</v>
      </c>
      <c r="C64" s="86" t="s">
        <v>20</v>
      </c>
      <c r="D64" s="48">
        <v>0</v>
      </c>
      <c r="E64" s="112">
        <v>44953</v>
      </c>
      <c r="F64" s="112">
        <v>44953</v>
      </c>
      <c r="G64" s="113">
        <f t="shared" si="23"/>
        <v>1</v>
      </c>
      <c r="H64" s="16"/>
      <c r="I64" s="16">
        <f t="shared" ca="1" si="14"/>
        <v>1</v>
      </c>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row>
    <row r="65" spans="1:65" s="3" customFormat="1" ht="30" customHeight="1" thickBot="1">
      <c r="A65" s="27"/>
      <c r="B65" s="89" t="s">
        <v>63</v>
      </c>
      <c r="C65" s="86" t="s">
        <v>23</v>
      </c>
      <c r="D65" s="48">
        <v>0</v>
      </c>
      <c r="E65" s="112">
        <v>44953</v>
      </c>
      <c r="F65" s="112">
        <v>44953</v>
      </c>
      <c r="G65" s="113">
        <f t="shared" si="23"/>
        <v>1</v>
      </c>
      <c r="H65" s="16"/>
      <c r="I65" s="16"/>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row>
    <row r="66" spans="1:65" s="3" customFormat="1" ht="30" customHeight="1" thickBot="1">
      <c r="A66" s="27"/>
      <c r="B66" s="60" t="s">
        <v>64</v>
      </c>
      <c r="C66" s="61" t="s">
        <v>26</v>
      </c>
      <c r="D66" s="62"/>
      <c r="E66" s="112">
        <v>44956</v>
      </c>
      <c r="F66" s="112">
        <v>44956</v>
      </c>
      <c r="G66" s="74">
        <f t="shared" si="23"/>
        <v>1</v>
      </c>
      <c r="H66" s="16"/>
      <c r="I66" s="16"/>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row>
    <row r="67" spans="1:65" s="3" customFormat="1" ht="30" customHeight="1" thickBot="1">
      <c r="A67" s="27"/>
      <c r="B67" s="60" t="s">
        <v>65</v>
      </c>
      <c r="C67" s="61" t="s">
        <v>20</v>
      </c>
      <c r="D67" s="62"/>
      <c r="E67" s="112">
        <v>44956</v>
      </c>
      <c r="F67" s="112">
        <v>44956</v>
      </c>
      <c r="G67" s="74">
        <f t="shared" si="23"/>
        <v>1</v>
      </c>
      <c r="H67" s="16"/>
      <c r="I67" s="16"/>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row>
    <row r="68" spans="1:65" s="3" customFormat="1" ht="30" customHeight="1" thickBot="1">
      <c r="A68" s="27"/>
      <c r="B68" s="45" t="s">
        <v>34</v>
      </c>
      <c r="C68" s="56"/>
      <c r="D68" s="46"/>
      <c r="E68" s="111"/>
      <c r="F68" s="47"/>
      <c r="G68" s="65"/>
      <c r="H68" s="16"/>
      <c r="I68" s="16"/>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row>
    <row r="69" spans="1:65" s="3" customFormat="1" ht="30" customHeight="1" thickBot="1">
      <c r="A69" s="27"/>
      <c r="B69" s="89" t="s">
        <v>54</v>
      </c>
      <c r="C69" s="86" t="s">
        <v>23</v>
      </c>
      <c r="D69" s="48">
        <v>0</v>
      </c>
      <c r="E69" s="112">
        <v>44942</v>
      </c>
      <c r="F69" s="112">
        <v>44942</v>
      </c>
      <c r="G69" s="113">
        <f t="shared" ref="G69:G80" si="24">NETWORKDAYS(E69,F69)</f>
        <v>1</v>
      </c>
      <c r="H69" s="16"/>
      <c r="I69" s="16"/>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row>
    <row r="70" spans="1:65" s="3" customFormat="1" ht="30" customHeight="1" thickBot="1">
      <c r="A70" s="27"/>
      <c r="B70" s="89" t="s">
        <v>55</v>
      </c>
      <c r="C70" s="86" t="s">
        <v>23</v>
      </c>
      <c r="D70" s="48">
        <v>0</v>
      </c>
      <c r="E70" s="112">
        <v>44953</v>
      </c>
      <c r="F70" s="112">
        <v>44953</v>
      </c>
      <c r="G70" s="113">
        <f t="shared" si="24"/>
        <v>1</v>
      </c>
      <c r="H70" s="16"/>
      <c r="I70" s="16"/>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row>
    <row r="71" spans="1:65" s="3" customFormat="1" ht="30" customHeight="1" thickBot="1">
      <c r="A71" s="27"/>
      <c r="B71" s="89" t="s">
        <v>56</v>
      </c>
      <c r="C71" s="86" t="s">
        <v>20</v>
      </c>
      <c r="D71" s="48">
        <v>0</v>
      </c>
      <c r="E71" s="112">
        <v>44956</v>
      </c>
      <c r="F71" s="112">
        <v>44956</v>
      </c>
      <c r="G71" s="113">
        <f t="shared" si="24"/>
        <v>1</v>
      </c>
      <c r="H71" s="16"/>
      <c r="I71" s="16"/>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row>
    <row r="72" spans="1:65" s="3" customFormat="1" ht="30" customHeight="1" thickBot="1">
      <c r="A72" s="27"/>
      <c r="B72" s="89" t="s">
        <v>57</v>
      </c>
      <c r="C72" s="86" t="s">
        <v>20</v>
      </c>
      <c r="D72" s="48">
        <v>0</v>
      </c>
      <c r="E72" s="112">
        <v>44956</v>
      </c>
      <c r="F72" s="112">
        <v>44956</v>
      </c>
      <c r="G72" s="113">
        <f t="shared" si="24"/>
        <v>1</v>
      </c>
      <c r="H72" s="16"/>
      <c r="I72" s="16"/>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row>
    <row r="73" spans="1:65" s="3" customFormat="1" ht="30" customHeight="1" thickBot="1">
      <c r="A73" s="27"/>
      <c r="B73" s="89" t="s">
        <v>58</v>
      </c>
      <c r="C73" s="86" t="s">
        <v>23</v>
      </c>
      <c r="D73" s="48">
        <v>0</v>
      </c>
      <c r="E73" s="112">
        <v>44963</v>
      </c>
      <c r="F73" s="112">
        <v>44963</v>
      </c>
      <c r="G73" s="113">
        <f t="shared" si="24"/>
        <v>1</v>
      </c>
      <c r="H73" s="16"/>
      <c r="I73" s="16"/>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row>
    <row r="74" spans="1:65" s="3" customFormat="1" ht="30" customHeight="1" thickBot="1">
      <c r="A74" s="27"/>
      <c r="B74" s="89" t="s">
        <v>59</v>
      </c>
      <c r="C74" s="86" t="s">
        <v>20</v>
      </c>
      <c r="D74" s="48">
        <v>0</v>
      </c>
      <c r="E74" s="112">
        <v>44963</v>
      </c>
      <c r="F74" s="112">
        <v>44963</v>
      </c>
      <c r="G74" s="113">
        <f t="shared" si="24"/>
        <v>1</v>
      </c>
      <c r="H74" s="16"/>
      <c r="I74" s="16"/>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row>
    <row r="75" spans="1:65" s="3" customFormat="1" ht="30" customHeight="1" thickBot="1">
      <c r="A75" s="27"/>
      <c r="B75" s="89" t="s">
        <v>60</v>
      </c>
      <c r="C75" s="86" t="s">
        <v>20</v>
      </c>
      <c r="D75" s="48">
        <v>0</v>
      </c>
      <c r="E75" s="112">
        <v>44960</v>
      </c>
      <c r="F75" s="112">
        <v>44960</v>
      </c>
      <c r="G75" s="113">
        <f t="shared" si="24"/>
        <v>1</v>
      </c>
      <c r="H75" s="16"/>
      <c r="I75" s="16">
        <f t="shared" ca="1" si="14"/>
        <v>1</v>
      </c>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row>
    <row r="76" spans="1:65" s="3" customFormat="1" ht="30" customHeight="1" thickBot="1">
      <c r="A76" s="27"/>
      <c r="B76" s="89" t="s">
        <v>61</v>
      </c>
      <c r="C76" s="86" t="s">
        <v>20</v>
      </c>
      <c r="D76" s="48">
        <v>0</v>
      </c>
      <c r="E76" s="112">
        <v>44960</v>
      </c>
      <c r="F76" s="112">
        <v>44960</v>
      </c>
      <c r="G76" s="113">
        <f t="shared" si="24"/>
        <v>1</v>
      </c>
      <c r="H76" s="16"/>
      <c r="I76" s="16">
        <f t="shared" ca="1" si="14"/>
        <v>1</v>
      </c>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row>
    <row r="77" spans="1:65" s="3" customFormat="1" ht="30" customHeight="1" thickBot="1">
      <c r="A77" s="27"/>
      <c r="B77" s="89" t="s">
        <v>62</v>
      </c>
      <c r="C77" s="86" t="s">
        <v>20</v>
      </c>
      <c r="D77" s="48">
        <v>0</v>
      </c>
      <c r="E77" s="112">
        <v>44960</v>
      </c>
      <c r="F77" s="112">
        <v>44960</v>
      </c>
      <c r="G77" s="113">
        <f t="shared" si="24"/>
        <v>1</v>
      </c>
      <c r="H77" s="16"/>
      <c r="I77" s="16">
        <f t="shared" ca="1" si="14"/>
        <v>1</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row>
    <row r="78" spans="1:65" s="3" customFormat="1" ht="30" customHeight="1" thickBot="1">
      <c r="A78" s="27"/>
      <c r="B78" s="89" t="s">
        <v>63</v>
      </c>
      <c r="C78" s="86" t="s">
        <v>23</v>
      </c>
      <c r="D78" s="48">
        <v>0</v>
      </c>
      <c r="E78" s="112">
        <v>44959</v>
      </c>
      <c r="F78" s="112">
        <v>44959</v>
      </c>
      <c r="G78" s="113">
        <f t="shared" si="24"/>
        <v>1</v>
      </c>
      <c r="H78" s="16"/>
      <c r="I78" s="16"/>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row>
    <row r="79" spans="1:65" s="3" customFormat="1" ht="30" customHeight="1" thickBot="1">
      <c r="A79" s="27"/>
      <c r="B79" s="60" t="s">
        <v>64</v>
      </c>
      <c r="C79" s="61" t="s">
        <v>26</v>
      </c>
      <c r="D79" s="62"/>
      <c r="E79" s="112">
        <v>44966</v>
      </c>
      <c r="F79" s="112">
        <v>44966</v>
      </c>
      <c r="G79" s="74">
        <f t="shared" si="24"/>
        <v>1</v>
      </c>
      <c r="H79" s="16"/>
      <c r="I79" s="16"/>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row>
    <row r="80" spans="1:65" s="3" customFormat="1" ht="30" customHeight="1" thickBot="1">
      <c r="A80" s="27"/>
      <c r="B80" s="60" t="s">
        <v>65</v>
      </c>
      <c r="C80" s="61" t="s">
        <v>20</v>
      </c>
      <c r="D80" s="62"/>
      <c r="E80" s="112">
        <v>44966</v>
      </c>
      <c r="F80" s="112">
        <v>44966</v>
      </c>
      <c r="G80" s="74">
        <f t="shared" si="24"/>
        <v>1</v>
      </c>
      <c r="H80" s="16"/>
      <c r="I80" s="16"/>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row>
    <row r="81" spans="1:65" s="3" customFormat="1" ht="30" customHeight="1" thickBot="1">
      <c r="A81" s="27" t="s">
        <v>52</v>
      </c>
      <c r="B81" s="51" t="s">
        <v>66</v>
      </c>
      <c r="C81" s="57"/>
      <c r="D81" s="52"/>
      <c r="E81" s="114"/>
      <c r="F81" s="53"/>
      <c r="G81" s="66"/>
      <c r="H81" s="16"/>
      <c r="I81" s="16" t="str">
        <f t="shared" ca="1" si="14"/>
        <v/>
      </c>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row>
    <row r="82" spans="1:65" s="3" customFormat="1" ht="30" customHeight="1" thickBot="1">
      <c r="A82" s="27"/>
      <c r="B82" s="51" t="s">
        <v>18</v>
      </c>
      <c r="C82" s="57"/>
      <c r="D82" s="52"/>
      <c r="E82" s="114"/>
      <c r="F82" s="53"/>
      <c r="G82" s="66"/>
      <c r="H82" s="16"/>
      <c r="I82" s="16"/>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row>
    <row r="83" spans="1:65" s="3" customFormat="1" ht="30" customHeight="1" thickBot="1">
      <c r="A83" s="27"/>
      <c r="B83" s="90" t="s">
        <v>67</v>
      </c>
      <c r="C83" s="91" t="s">
        <v>20</v>
      </c>
      <c r="D83" s="54">
        <v>0</v>
      </c>
      <c r="E83" s="115">
        <v>44953</v>
      </c>
      <c r="F83" s="115">
        <v>44953</v>
      </c>
      <c r="G83" s="116">
        <f>NETWORKDAYS(E83,F83)</f>
        <v>1</v>
      </c>
      <c r="H83" s="16"/>
      <c r="I83" s="16">
        <f t="shared" ca="1" si="14"/>
        <v>1</v>
      </c>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row>
    <row r="84" spans="1:65" s="3" customFormat="1" ht="33.950000000000003" customHeight="1" thickBot="1">
      <c r="A84" s="27"/>
      <c r="B84" s="124" t="s">
        <v>68</v>
      </c>
      <c r="C84" s="125"/>
      <c r="D84" s="125"/>
      <c r="E84" s="125"/>
      <c r="F84" s="125"/>
      <c r="G84" s="125"/>
      <c r="H84" s="16"/>
      <c r="I84" s="16"/>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row>
    <row r="85" spans="1:65" s="3" customFormat="1" ht="30" customHeight="1" thickBot="1">
      <c r="A85" s="27"/>
      <c r="B85" s="90" t="s">
        <v>69</v>
      </c>
      <c r="C85" s="91" t="s">
        <v>20</v>
      </c>
      <c r="D85" s="54">
        <v>0</v>
      </c>
      <c r="E85" s="115">
        <v>44953</v>
      </c>
      <c r="F85" s="115">
        <v>44953</v>
      </c>
      <c r="G85" s="116">
        <f t="shared" ref="G85" si="25">NETWORKDAYS(E85,F85)</f>
        <v>1</v>
      </c>
      <c r="H85" s="16"/>
      <c r="I85" s="16"/>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row>
    <row r="86" spans="1:65" s="3" customFormat="1" ht="51.75" customHeight="1" thickBot="1">
      <c r="A86" s="27"/>
      <c r="B86" s="124" t="s">
        <v>70</v>
      </c>
      <c r="C86" s="125"/>
      <c r="D86" s="125"/>
      <c r="E86" s="125"/>
      <c r="F86" s="125"/>
      <c r="G86" s="125"/>
      <c r="H86" s="16"/>
      <c r="I86" s="16"/>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row>
    <row r="87" spans="1:65" s="3" customFormat="1" ht="30" customHeight="1" thickBot="1">
      <c r="A87" s="27"/>
      <c r="B87" s="90" t="s">
        <v>71</v>
      </c>
      <c r="C87" s="91" t="s">
        <v>20</v>
      </c>
      <c r="D87" s="54">
        <v>0</v>
      </c>
      <c r="E87" s="115">
        <v>44953</v>
      </c>
      <c r="F87" s="115">
        <v>44953</v>
      </c>
      <c r="G87" s="116">
        <f t="shared" ref="G87" si="26">NETWORKDAYS(E87,F87)</f>
        <v>1</v>
      </c>
      <c r="H87" s="16"/>
      <c r="I87" s="16"/>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row>
    <row r="88" spans="1:65" s="3" customFormat="1" ht="30.95" customHeight="1" thickBot="1">
      <c r="A88" s="27"/>
      <c r="B88" s="124" t="s">
        <v>72</v>
      </c>
      <c r="C88" s="125"/>
      <c r="D88" s="125"/>
      <c r="E88" s="125"/>
      <c r="F88" s="125"/>
      <c r="G88" s="125"/>
      <c r="H88" s="16"/>
      <c r="I88" s="16"/>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row>
    <row r="89" spans="1:65" s="3" customFormat="1" ht="30" customHeight="1" thickBot="1">
      <c r="A89" s="27"/>
      <c r="B89" s="51" t="s">
        <v>34</v>
      </c>
      <c r="C89" s="57"/>
      <c r="D89" s="52"/>
      <c r="E89" s="114"/>
      <c r="F89" s="53"/>
      <c r="G89" s="66"/>
      <c r="H89" s="16"/>
      <c r="I89" s="16"/>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row>
    <row r="90" spans="1:65" s="3" customFormat="1" ht="30" customHeight="1" thickBot="1">
      <c r="A90" s="27"/>
      <c r="B90" s="90" t="s">
        <v>67</v>
      </c>
      <c r="C90" s="91" t="s">
        <v>20</v>
      </c>
      <c r="D90" s="54">
        <v>0</v>
      </c>
      <c r="E90" s="115">
        <v>44960</v>
      </c>
      <c r="F90" s="115">
        <v>44960</v>
      </c>
      <c r="G90" s="116">
        <f>NETWORKDAYS(E90,F90)</f>
        <v>1</v>
      </c>
      <c r="H90" s="16"/>
      <c r="I90" s="16">
        <f t="shared" ca="1" si="14"/>
        <v>1</v>
      </c>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row>
    <row r="91" spans="1:65" s="3" customFormat="1" ht="33.950000000000003" customHeight="1" thickBot="1">
      <c r="A91" s="27"/>
      <c r="B91" s="124" t="s">
        <v>68</v>
      </c>
      <c r="C91" s="125"/>
      <c r="D91" s="125"/>
      <c r="E91" s="125"/>
      <c r="F91" s="125"/>
      <c r="G91" s="125"/>
      <c r="H91" s="16"/>
      <c r="I91" s="16"/>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row>
    <row r="92" spans="1:65" s="3" customFormat="1" ht="30" customHeight="1" thickBot="1">
      <c r="A92" s="27"/>
      <c r="B92" s="90" t="s">
        <v>69</v>
      </c>
      <c r="C92" s="91" t="s">
        <v>20</v>
      </c>
      <c r="D92" s="54">
        <v>0</v>
      </c>
      <c r="E92" s="115">
        <v>44960</v>
      </c>
      <c r="F92" s="115">
        <v>44960</v>
      </c>
      <c r="G92" s="116">
        <f t="shared" ref="G92" si="27">NETWORKDAYS(E92,F92)</f>
        <v>1</v>
      </c>
      <c r="H92" s="16"/>
      <c r="I92" s="16"/>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row>
    <row r="93" spans="1:65" s="3" customFormat="1" ht="51.75" customHeight="1" thickBot="1">
      <c r="A93" s="27"/>
      <c r="B93" s="124" t="s">
        <v>70</v>
      </c>
      <c r="C93" s="125"/>
      <c r="D93" s="125"/>
      <c r="E93" s="125"/>
      <c r="F93" s="125"/>
      <c r="G93" s="125"/>
      <c r="H93" s="16"/>
      <c r="I93" s="16"/>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row>
    <row r="94" spans="1:65" s="3" customFormat="1" ht="30" customHeight="1" thickBot="1">
      <c r="A94" s="27"/>
      <c r="B94" s="90" t="s">
        <v>71</v>
      </c>
      <c r="C94" s="91" t="s">
        <v>20</v>
      </c>
      <c r="D94" s="54">
        <v>0</v>
      </c>
      <c r="E94" s="115">
        <v>44960</v>
      </c>
      <c r="F94" s="115">
        <v>44960</v>
      </c>
      <c r="G94" s="116">
        <f t="shared" ref="G94" si="28">NETWORKDAYS(E94,F94)</f>
        <v>1</v>
      </c>
      <c r="H94" s="16"/>
      <c r="I94" s="16"/>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row>
    <row r="95" spans="1:65" s="3" customFormat="1" ht="30.95" customHeight="1" thickBot="1">
      <c r="A95" s="27"/>
      <c r="B95" s="124" t="s">
        <v>72</v>
      </c>
      <c r="C95" s="125"/>
      <c r="D95" s="125"/>
      <c r="E95" s="125"/>
      <c r="F95" s="125"/>
      <c r="G95" s="125"/>
      <c r="H95" s="16"/>
      <c r="I95" s="16"/>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row>
    <row r="96" spans="1:65" s="3" customFormat="1" ht="30" customHeight="1" thickBot="1">
      <c r="A96" s="27" t="s">
        <v>73</v>
      </c>
      <c r="B96" s="34"/>
      <c r="C96" s="33"/>
      <c r="D96" s="15"/>
      <c r="E96" s="32"/>
      <c r="F96" s="32"/>
      <c r="G96" s="67"/>
      <c r="H96" s="16"/>
      <c r="I96" s="16" t="str">
        <f t="shared" ca="1" si="14"/>
        <v/>
      </c>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row>
    <row r="97" spans="1:65" s="3" customFormat="1" ht="30" customHeight="1" thickBot="1">
      <c r="A97" s="28" t="s">
        <v>74</v>
      </c>
      <c r="B97" s="17" t="s">
        <v>75</v>
      </c>
      <c r="C97" s="18"/>
      <c r="D97" s="19"/>
      <c r="E97" s="20"/>
      <c r="F97" s="21"/>
      <c r="G97" s="68"/>
      <c r="H97" s="22"/>
      <c r="I97" s="22" t="str">
        <f t="shared" ca="1" si="14"/>
        <v/>
      </c>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row>
    <row r="98" spans="1:65" ht="30" customHeight="1">
      <c r="H98" s="6"/>
    </row>
    <row r="99" spans="1:65" ht="30" customHeight="1">
      <c r="C99" s="13"/>
      <c r="F99" s="29"/>
      <c r="G99" s="70"/>
    </row>
    <row r="100" spans="1:65" ht="30" customHeight="1">
      <c r="C100" s="14"/>
    </row>
  </sheetData>
  <mergeCells count="21">
    <mergeCell ref="B91:G91"/>
    <mergeCell ref="B93:G93"/>
    <mergeCell ref="B95:G95"/>
    <mergeCell ref="B84:G84"/>
    <mergeCell ref="B86:G86"/>
    <mergeCell ref="B88:G88"/>
    <mergeCell ref="C3:D3"/>
    <mergeCell ref="C4:D4"/>
    <mergeCell ref="B44:G44"/>
    <mergeCell ref="B49:G49"/>
    <mergeCell ref="B21:G21"/>
    <mergeCell ref="B34:G34"/>
    <mergeCell ref="AL4:AR4"/>
    <mergeCell ref="AS4:AY4"/>
    <mergeCell ref="AZ4:BF4"/>
    <mergeCell ref="BG4:BM4"/>
    <mergeCell ref="E3:F3"/>
    <mergeCell ref="J4:P4"/>
    <mergeCell ref="Q4:W4"/>
    <mergeCell ref="X4:AD4"/>
    <mergeCell ref="AE4:AK4"/>
  </mergeCells>
  <conditionalFormatting sqref="D45:D48 D50:D83 D85 D87 D96:D97 D7:D43">
    <cfRule type="dataBar" priority="16">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5:BM97">
    <cfRule type="expression" dxfId="2" priority="35">
      <formula>AND(TODAY()&gt;=J$5,TODAY()&lt;K$5)</formula>
    </cfRule>
  </conditionalFormatting>
  <conditionalFormatting sqref="J7:BM97">
    <cfRule type="expression" dxfId="1" priority="29">
      <formula>AND(task_start&lt;=J$5,ROUNDDOWN((task_end-task_start+1)*task_progress,0)+task_start-1&gt;=J$5)</formula>
    </cfRule>
    <cfRule type="expression" dxfId="0" priority="30" stopIfTrue="1">
      <formula>AND(task_end&gt;=J$5,task_start&lt;K$5)</formula>
    </cfRule>
  </conditionalFormatting>
  <conditionalFormatting sqref="D89:D90 D92 D94">
    <cfRule type="dataBar" priority="1">
      <dataBar>
        <cfvo type="num" val="0"/>
        <cfvo type="num" val="1"/>
        <color theme="0" tint="-0.249977111117893"/>
      </dataBar>
      <extLst>
        <ext xmlns:x14="http://schemas.microsoft.com/office/spreadsheetml/2009/9/main" uri="{B025F937-C7B1-47D3-B67F-A62EFF666E3E}">
          <x14:id>{AA20B8BE-81D4-8D44-BFA0-6A95121669E8}</x14:id>
        </ext>
      </extLst>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D45:D48 D50:D83 D85 D87 D96:D97 D7:D43</xm:sqref>
        </x14:conditionalFormatting>
        <x14:conditionalFormatting xmlns:xm="http://schemas.microsoft.com/office/excel/2006/main">
          <x14:cfRule type="dataBar" id="{AA20B8BE-81D4-8D44-BFA0-6A95121669E8}">
            <x14:dataBar minLength="0" maxLength="100" gradient="0">
              <x14:cfvo type="num">
                <xm:f>0</xm:f>
              </x14:cfvo>
              <x14:cfvo type="num">
                <xm:f>1</xm:f>
              </x14:cfvo>
              <x14:negativeFillColor rgb="FFFF0000"/>
              <x14:axisColor rgb="FF000000"/>
            </x14:dataBar>
          </x14:cfRule>
          <xm:sqref>D89:D90 D92 D94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5F6638245D5F489C492A8A4CAD5181" ma:contentTypeVersion="25" ma:contentTypeDescription="Create a new document." ma:contentTypeScope="" ma:versionID="736407436f70d0447fb7b71a4f7f3bde">
  <xsd:schema xmlns:xsd="http://www.w3.org/2001/XMLSchema" xmlns:xs="http://www.w3.org/2001/XMLSchema" xmlns:p="http://schemas.microsoft.com/office/2006/metadata/properties" xmlns:ns2="7963abd7-b1fd-4e31-9721-c6fee94b0cb0" xmlns:ns3="8a398bdf-8e41-4a71-9177-f5160f512c04" targetNamespace="http://schemas.microsoft.com/office/2006/metadata/properties" ma:root="true" ma:fieldsID="5761057f95071114197a3ca175f84f21" ns2:_="" ns3:_="">
    <xsd:import namespace="7963abd7-b1fd-4e31-9721-c6fee94b0cb0"/>
    <xsd:import namespace="8a398bdf-8e41-4a71-9177-f5160f512c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3abd7-b1fd-4e31-9721-c6fee94b0cb0"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Location" ma:index="10" nillable="true" ma:displayName="Location" ma:description="" ma:internalName="MediaServiceLocatio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LengthInSeconds" ma:index="12" nillable="true" ma:displayName="MediaLengthInSeconds" ma:description=""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ead9ae7-51a7-4a42-a9b2-43e76f4f824d"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398bdf-8e41-4a71-9177-f5160f512c0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ac6e8c-499b-4941-8a05-e4a91feeb03d}" ma:internalName="TaxCatchAll" ma:showField="CatchAllData" ma:web="8a398bdf-8e41-4a71-9177-f5160f512c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a398bdf-8e41-4a71-9177-f5160f512c04" xsi:nil="true"/>
    <lcf76f155ced4ddcb4097134ff3c332f xmlns="7963abd7-b1fd-4e31-9721-c6fee94b0c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1094EA-B91E-4AD7-83FE-DB4F5413855E}"/>
</file>

<file path=customXml/itemProps2.xml><?xml version="1.0" encoding="utf-8"?>
<ds:datastoreItem xmlns:ds="http://schemas.openxmlformats.org/officeDocument/2006/customXml" ds:itemID="{91C8627D-42C6-498C-A9A4-9D14A44E3584}"/>
</file>

<file path=customXml/itemProps3.xml><?xml version="1.0" encoding="utf-8"?>
<ds:datastoreItem xmlns:ds="http://schemas.openxmlformats.org/officeDocument/2006/customXml" ds:itemID="{6710F012-5194-4FA5-B25C-7AB27DDD931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Rowan, Amy (NBCUniversal)</cp:lastModifiedBy>
  <cp:revision/>
  <dcterms:created xsi:type="dcterms:W3CDTF">2022-03-11T22:40:12Z</dcterms:created>
  <dcterms:modified xsi:type="dcterms:W3CDTF">2024-05-24T09:00:57Z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0x0101009F5F6638245D5F489C492A8A4CAD5181</vt:lpwstr>
  </property>
  <property fmtid="{D5CDD505-2E9C-101B-9397-08002B2CF9AE}" pid="3" name="MediaServiceImageTags">
    <vt:lpwstr/>
  </property>
  <property fmtid="{D5CDD505-2E9C-101B-9397-08002B2CF9AE}" pid="4" name="Order">
    <vt:r8>225500</vt:r8>
  </property>
  <property fmtid="{D5CDD505-2E9C-101B-9397-08002B2CF9AE}" pid="5" name="_ExtendedDescription">
    <vt:lpwstr/>
  </property>
</Properties>
</file>